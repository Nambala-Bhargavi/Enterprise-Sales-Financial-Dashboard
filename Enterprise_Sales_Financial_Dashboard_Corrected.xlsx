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245" tabRatio="500" firstSheet="4" activeTab="7"/>
  </bookViews>
  <sheets>
    <sheet name="Dashboard" sheetId="1" r:id="rId1"/>
    <sheet name="Executive_Summary" sheetId="2" r:id="rId2"/>
    <sheet name="Financial_Model" sheetId="3" r:id="rId3"/>
    <sheet name="Advanced_Functions" sheetId="4" r:id="rId4"/>
    <sheet name="slicer" sheetId="5" r:id="rId5"/>
    <sheet name="Sales_Data" sheetId="6" r:id="rId6"/>
    <sheet name="Customer_Data" sheetId="7" r:id="rId7"/>
    <sheet name="Product_Data" sheetId="8" r:id="rId8"/>
    <sheet name="Budget_Data" sheetId="9" r:id="rId9"/>
  </sheets>
  <definedNames>
    <definedName name="BreakEvenUnits">Financial_Model!$B$33</definedName>
    <definedName name="FixedCosts">Financial_Model!$B$29</definedName>
    <definedName name="Slicer_Category">#N/A</definedName>
    <definedName name="TotalProfit">Financial_Model!$D$5:$D$16</definedName>
    <definedName name="TotalRevenue">Financial_Model!$B$5:$B$16</definedName>
  </definedNames>
  <calcPr calcId="152511" iterateDelta="1E-4" forceFullCalc="1"/>
  <pivotCaches>
    <pivotCache cacheId="0" r:id="rId10"/>
  </pivotCaches>
</workbook>
</file>

<file path=xl/calcChain.xml><?xml version="1.0" encoding="utf-8"?>
<calcChain xmlns="http://schemas.openxmlformats.org/spreadsheetml/2006/main">
  <c r="B50" i="4" l="1"/>
  <c r="B46" i="4"/>
  <c r="E13" i="4"/>
  <c r="D13" i="4"/>
  <c r="C13" i="4"/>
  <c r="B9" i="4"/>
  <c r="B5" i="4"/>
  <c r="A50" i="3"/>
  <c r="A49" i="3"/>
  <c r="A48" i="3"/>
  <c r="A47" i="3"/>
  <c r="A46" i="3"/>
  <c r="A45" i="3"/>
  <c r="A44" i="3"/>
  <c r="A43" i="3"/>
  <c r="A42" i="3"/>
  <c r="A41" i="3"/>
  <c r="A40" i="3"/>
  <c r="A39" i="3"/>
  <c r="B31" i="3"/>
  <c r="B30" i="3"/>
  <c r="C24" i="3"/>
  <c r="B24" i="3"/>
  <c r="C23" i="3"/>
  <c r="E23" i="3" s="1"/>
  <c r="B23" i="3"/>
  <c r="C22" i="3"/>
  <c r="B22" i="3"/>
  <c r="C21" i="3"/>
  <c r="B21" i="3"/>
  <c r="C16" i="3"/>
  <c r="B16" i="3"/>
  <c r="B50" i="3" s="1"/>
  <c r="C15" i="3"/>
  <c r="B15" i="3"/>
  <c r="B49" i="3" s="1"/>
  <c r="C14" i="3"/>
  <c r="B14" i="3"/>
  <c r="C13" i="3"/>
  <c r="B13" i="3"/>
  <c r="B47" i="3" s="1"/>
  <c r="C12" i="3"/>
  <c r="B12" i="3"/>
  <c r="B46" i="3" s="1"/>
  <c r="C11" i="3"/>
  <c r="B11" i="3"/>
  <c r="B45" i="3" s="1"/>
  <c r="C10" i="3"/>
  <c r="B10" i="3"/>
  <c r="B44" i="3" s="1"/>
  <c r="C9" i="3"/>
  <c r="B9" i="3"/>
  <c r="C8" i="3"/>
  <c r="B8" i="3"/>
  <c r="B42" i="3" s="1"/>
  <c r="C7" i="3"/>
  <c r="B7" i="3"/>
  <c r="B41" i="3" s="1"/>
  <c r="C6" i="3"/>
  <c r="B6" i="3"/>
  <c r="C5" i="3"/>
  <c r="B5" i="3"/>
  <c r="B39" i="3" s="1"/>
  <c r="F14" i="3" l="1"/>
  <c r="B32" i="3"/>
  <c r="B33" i="3" s="1"/>
  <c r="D11" i="3"/>
  <c r="E11" i="3" s="1"/>
  <c r="E24" i="3"/>
  <c r="D9" i="3"/>
  <c r="E9" i="3" s="1"/>
  <c r="F12" i="3"/>
  <c r="E21" i="3"/>
  <c r="D10" i="3"/>
  <c r="E10" i="3" s="1"/>
  <c r="D13" i="3"/>
  <c r="E13" i="3" s="1"/>
  <c r="D24" i="3"/>
  <c r="F11" i="3"/>
  <c r="D14" i="3"/>
  <c r="E14" i="3" s="1"/>
  <c r="D22" i="3"/>
  <c r="E22" i="3"/>
  <c r="F6" i="3"/>
  <c r="C47" i="3"/>
  <c r="C46" i="3"/>
  <c r="D5" i="3"/>
  <c r="F16" i="3"/>
  <c r="B48" i="3"/>
  <c r="C50" i="3" s="1"/>
  <c r="F8" i="3"/>
  <c r="D7" i="3"/>
  <c r="E7" i="3" s="1"/>
  <c r="F13" i="3"/>
  <c r="D15" i="3"/>
  <c r="E15" i="3" s="1"/>
  <c r="B40" i="3"/>
  <c r="C42" i="3" s="1"/>
  <c r="B43" i="3"/>
  <c r="C45" i="3" s="1"/>
  <c r="F10" i="3"/>
  <c r="D12" i="3"/>
  <c r="E12" i="3" s="1"/>
  <c r="A6" i="1"/>
  <c r="D8" i="2" s="1"/>
  <c r="F7" i="3"/>
  <c r="F15" i="3"/>
  <c r="D21" i="3"/>
  <c r="D23" i="3"/>
  <c r="D6" i="3"/>
  <c r="E6" i="3" s="1"/>
  <c r="F9" i="3"/>
  <c r="D8" i="3"/>
  <c r="E8" i="3" s="1"/>
  <c r="D16" i="3"/>
  <c r="E16" i="3" s="1"/>
  <c r="J30" i="1" l="1"/>
  <c r="B52" i="3"/>
  <c r="C41" i="3"/>
  <c r="C44" i="3"/>
  <c r="B34" i="3"/>
  <c r="J29" i="1" s="1"/>
  <c r="J28" i="1"/>
  <c r="D6" i="1"/>
  <c r="D9" i="2" s="1"/>
  <c r="E5" i="3"/>
  <c r="G6" i="1" s="1"/>
  <c r="D10" i="2" s="1"/>
  <c r="C49" i="3"/>
  <c r="C43" i="3"/>
  <c r="J6" i="1"/>
  <c r="D11" i="2" s="1"/>
  <c r="C48" i="3"/>
</calcChain>
</file>

<file path=xl/sharedStrings.xml><?xml version="1.0" encoding="utf-8"?>
<sst xmlns="http://schemas.openxmlformats.org/spreadsheetml/2006/main" count="2237" uniqueCount="457">
  <si>
    <t>ENTERPRISE SALES PERFORMANCE &amp; FINANCIAL ANALYTICS DASHBOARD</t>
  </si>
  <si>
    <t>FY2025 | All Regions | Data source: Sales_Data (300 transactions), Budget_Data</t>
  </si>
  <si>
    <t>TOTAL REVENUE</t>
  </si>
  <si>
    <t>TOTAL GROSS PROFIT</t>
  </si>
  <si>
    <t>AVG PROFIT MARGIN</t>
  </si>
  <si>
    <t>BUDGET VARIANCE</t>
  </si>
  <si>
    <t>Monthly Revenue &amp; Profit Trend</t>
  </si>
  <si>
    <t>Budget vs Actual by Department</t>
  </si>
  <si>
    <t>Month-over-Month Growth Rate %</t>
  </si>
  <si>
    <t>Break-even Snapshot (Laptop Pro 15)</t>
  </si>
  <si>
    <t>Break-even Units/Month</t>
  </si>
  <si>
    <t>Break-even Revenue/Month</t>
  </si>
  <si>
    <t>Contribution Margin/Unit</t>
  </si>
  <si>
    <t>EXECUTIVE SUMMARY — Enterprise Sales Performance &amp; Financial Analytics</t>
  </si>
  <si>
    <t>1. Overview</t>
  </si>
  <si>
    <t>•  This report analyzes 300 sales transactions across 4 regions and 10 products for FY2025, alongside departmental budget performance across Sales, Marketing, Operations, and R&amp;D.</t>
  </si>
  <si>
    <t>2. Key Performance Indicators (live-linked to Dashboard)</t>
  </si>
  <si>
    <t>Total Revenue</t>
  </si>
  <si>
    <t>Total Gross Profit</t>
  </si>
  <si>
    <t>Average Profit Margin</t>
  </si>
  <si>
    <t>Net Budget Variance</t>
  </si>
  <si>
    <t>3. Business Insights</t>
  </si>
  <si>
    <t>•  Revenue shows a clear seasonal pattern with peaks in July, November, and June, and the softest months in April, January, and February — worth planning inventory and sales campaigns around.</t>
  </si>
  <si>
    <t>•  Profit margins are strongest in April and weakest in September, suggesting cost pressures or discounting varied significantly by month even as revenue grew.</t>
  </si>
  <si>
    <t>•  Sales department finished the year under budget (favorable variance), while Marketing, Operations, and R&amp;D all ran over budget — most notably Operations.</t>
  </si>
  <si>
    <t>•  Break-even analysis for the flagship Laptop Pro 15 shows the product needs 129 units/month (~$154,800 revenue) to cover its allocated fixed overhead — a useful benchmark for monthly sales targets on this SKU.</t>
  </si>
  <si>
    <t>•  The Electronics category (Laptop, Monitor, Mouse, Keyboard) likely drives the largest share of revenue given its higher unit prices — worth cross-checking against the Advanced_Functions sheet's high-value order filter.</t>
  </si>
  <si>
    <t>4. Business Recommendations</t>
  </si>
  <si>
    <t>•  Align inventory and staffing with the identified seasonal peaks (Mar/Jul/Nov) and plan promotions to smooth out the April/August dips.</t>
  </si>
  <si>
    <t>•  Investigate the Operations budget overrun specifically — it shows both the largest dollar and percentage variance among all departments.</t>
  </si>
  <si>
    <t>•  Use the break-even benchmark (129 units/month) as a minimum sales target for the Laptop Pro 15 in monthly sales reviews.</t>
  </si>
  <si>
    <t>•  Extend this financial model with a rolling 3-month moving average (Forecast Sheet / Trend Analysis) to project Q1 2026 revenue for budget planning.</t>
  </si>
  <si>
    <t>•  Standardize monthly Power Query refreshes as new branch data arrives, so this dashboard updates automatically instead of requiring manual data entry each month.</t>
  </si>
  <si>
    <t>5. Methodology &amp; Assumptions</t>
  </si>
  <si>
    <t>•  Fixed overhead of $45,000/month is an assumed planning figure for the break-even example (Laptop Pro 15) — replace with actual allocated overhead when available.</t>
  </si>
  <si>
    <t>•  Growth Rate % is calculated month-over-month on Revenue; the first month (January) has no prior month and is shown as 0%.</t>
  </si>
  <si>
    <t>•  Budget vs Actual figures are annual totals per department, summed from 12 months of Budget_Data.</t>
  </si>
  <si>
    <t>•  XLOOKUP, UNIQUE, SORT and FILTER formulas (Advanced_Functions sheet) require Excel 365 or Excel 2021; an INDEX-MATCH equivalent is provided alongside each for backward compatibility.</t>
  </si>
  <si>
    <t>FINANCIAL MODEL — Revenue, Profit, Budget vs Actual, Growth Rate, Break-even (formula-driven)</t>
  </si>
  <si>
    <t>1. Monthly Revenue, Profit &amp; Growth Rate</t>
  </si>
  <si>
    <t>Month</t>
  </si>
  <si>
    <t>Revenue</t>
  </si>
  <si>
    <t>COGS</t>
  </si>
  <si>
    <t>Gross Profit</t>
  </si>
  <si>
    <t>Profit Margin %</t>
  </si>
  <si>
    <t>Growth Rate % (MoM)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</si>
  <si>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</si>
  <si>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</si>
  <si>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</si>
  <si>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</si>
  <si>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</si>
  <si>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</si>
  <si>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</si>
  <si>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</si>
  <si>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</si>
  <si>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</si>
  <si>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</si>
  <si>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</si>
  <si>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2. Budget vs Actual by Department (Annual)</t>
  </si>
  <si>
    <t>Department</t>
  </si>
  <si>
    <t>Budgeted</t>
  </si>
  <si>
    <t>Actual</t>
  </si>
  <si>
    <t>Variance</t>
  </si>
  <si>
    <t>Variance %</t>
  </si>
  <si>
    <t>Sales</t>
  </si>
  <si>
    <t>Marketing</t>
  </si>
  <si>
    <t>Operations</t>
  </si>
  <si>
    <t>R&amp;D</t>
  </si>
  <si>
    <t>3. Break-even Analysis (Laptop Pro 15 example)</t>
  </si>
  <si>
    <t>Metric</t>
  </si>
  <si>
    <t>Value</t>
  </si>
  <si>
    <t>Fixed Costs (assumed monthly overhead)</t>
  </si>
  <si>
    <t>Unit Selling Price</t>
  </si>
  <si>
    <t>Unit Variable Cost</t>
  </si>
  <si>
    <t>Contribution Margin per Unit</t>
  </si>
  <si>
    <t>Break-even Units (per month)</t>
  </si>
  <si>
    <t>Break-even Revenue (per month)</t>
  </si>
  <si>
    <t>4. Trend Analysis — 3-Month Moving Average &amp; Simple Forecast</t>
  </si>
  <si>
    <t>Actual Revenue</t>
  </si>
  <si>
    <t>3-Month Moving Avg</t>
  </si>
  <si>
    <t>Trend (SLOPE-based)</t>
  </si>
  <si>
    <t>Forecasted Next Month Revenue (TREND)</t>
  </si>
  <si>
    <t>ADVANCED EXCEL FUNCTIONS — live demos, all formula-driven off Sales_Data / Product_Data / Customer_Data</t>
  </si>
  <si>
    <t>1. XLOOKUP — look up Unit Cost &amp; Margin for a Product</t>
  </si>
  <si>
    <t>Product (type any)</t>
  </si>
  <si>
    <t>Unit Cost</t>
  </si>
  <si>
    <t>Margin %</t>
  </si>
  <si>
    <t>Laptop Pro 15</t>
  </si>
  <si>
    <t>2. INDEX + MATCH — same lookup, classic method</t>
  </si>
  <si>
    <t>Unit Price (INDEX-MATCH)</t>
  </si>
  <si>
    <t>4K Monitor</t>
  </si>
  <si>
    <t>3. SUMIFS / COUNTIFS / AVERAGEIFS — Region + Category filtered</t>
  </si>
  <si>
    <t>Region</t>
  </si>
  <si>
    <t>Category</t>
  </si>
  <si>
    <t>Order Count</t>
  </si>
  <si>
    <t>Avg Order Value</t>
  </si>
  <si>
    <t>Europe</t>
  </si>
  <si>
    <t>Electronics</t>
  </si>
  <si>
    <t>4. UNIQUE + SORT — distinct product list, sorted</t>
  </si>
  <si>
    <t>5. FILTER — orders with Revenue &gt; $5,000</t>
  </si>
  <si>
    <t>Unique Products (auto-spills down)</t>
  </si>
  <si>
    <t>High-Value Orders (auto-spills)</t>
  </si>
  <si>
    <t>Use Excel 2013 Sort/Filter tools for this example.</t>
  </si>
  <si>
    <t>NOTE: XLOOKUP, UNIQUE, SORT and FILTER are Excel 365 / Excel 2021 dynamic-array functions. If any of these show a Name-Not-Recognized error on your machine, your Excel version/build doesn't yet support them — use the INDEX-MATCH version in Section 2 instead, which works in every Excel version.</t>
  </si>
  <si>
    <t>6. IFS — multi-condition rating (no nested IF needed)</t>
  </si>
  <si>
    <t>Revenue Amount</t>
  </si>
  <si>
    <t>Performance Rating (IFS)</t>
  </si>
  <si>
    <t>7. SWITCH — map a code to a label</t>
  </si>
  <si>
    <t>Region Code</t>
  </si>
  <si>
    <t>Region Name (SWITCH)</t>
  </si>
  <si>
    <t>NA</t>
  </si>
  <si>
    <t>8. TEXTJOIN — combine multiple cells with a separator</t>
  </si>
  <si>
    <t>Product</t>
  </si>
  <si>
    <t>Combined Label (TEXTJOIN)</t>
  </si>
  <si>
    <t>9. SORTBY — sort one range by another (Products sorted by Margin %, desc)</t>
  </si>
  <si>
    <t>Products sorted by Margin % (auto-spills)</t>
  </si>
  <si>
    <t>NOTE: IFS, SWITCH, TEXTJOIN and SORTBY are Excel 2019/365 functions. Same compatibility note as Section 4/5 above applies if your Excel build is older.</t>
  </si>
  <si>
    <t>Row Labels</t>
  </si>
  <si>
    <t>Sum of Revenue</t>
  </si>
  <si>
    <t>Asia</t>
  </si>
  <si>
    <t>North America</t>
  </si>
  <si>
    <t>South America</t>
  </si>
  <si>
    <t>Grand Total</t>
  </si>
  <si>
    <t>OrderID</t>
  </si>
  <si>
    <t>Date</t>
  </si>
  <si>
    <t>CustomerID</t>
  </si>
  <si>
    <t>SalesRep</t>
  </si>
  <si>
    <t>Quantity</t>
  </si>
  <si>
    <t>UnitPrice</t>
  </si>
  <si>
    <t>GrossProfit</t>
  </si>
  <si>
    <t>2025-08-03</t>
  </si>
  <si>
    <t>Furniture</t>
  </si>
  <si>
    <t>Bookshelf Unit</t>
  </si>
  <si>
    <t>CUST-0019</t>
  </si>
  <si>
    <t>Lucas Tanaka</t>
  </si>
  <si>
    <t>2025-09-20</t>
  </si>
  <si>
    <t>Stationery</t>
  </si>
  <si>
    <t>Notebook Pack</t>
  </si>
  <si>
    <t>CUST-0012</t>
  </si>
  <si>
    <t>Noah Kim</t>
  </si>
  <si>
    <t>2025-10-27</t>
  </si>
  <si>
    <t>CUST-0028</t>
  </si>
  <si>
    <t>Liam Novak</t>
  </si>
  <si>
    <t>2025-04-30</t>
  </si>
  <si>
    <t>Standing Desk</t>
  </si>
  <si>
    <t>CUST-0003</t>
  </si>
  <si>
    <t>Ava Müller</t>
  </si>
  <si>
    <t>2025-01-18</t>
  </si>
  <si>
    <t>Filing Cabinet</t>
  </si>
  <si>
    <t>CUST-0022</t>
  </si>
  <si>
    <t>2025-03-21</t>
  </si>
  <si>
    <t>Ergo Keyboard</t>
  </si>
  <si>
    <t>CUST-0006</t>
  </si>
  <si>
    <t>2025-10-10</t>
  </si>
  <si>
    <t>2025-12-07</t>
  </si>
  <si>
    <t>Office Chair Deluxe</t>
  </si>
  <si>
    <t>2025-04-12</t>
  </si>
  <si>
    <t>Wireless Mouse</t>
  </si>
  <si>
    <t>CUST-0014</t>
  </si>
  <si>
    <t>2025-10-14</t>
  </si>
  <si>
    <t>Premium Pen Set</t>
  </si>
  <si>
    <t>CUST-0025</t>
  </si>
  <si>
    <t>2025-10-02</t>
  </si>
  <si>
    <t>CUST-0027</t>
  </si>
  <si>
    <t>Olivia Dubois</t>
  </si>
  <si>
    <t>2025-07-17</t>
  </si>
  <si>
    <t>CUST-0021</t>
  </si>
  <si>
    <t>2025-02-17</t>
  </si>
  <si>
    <t>CUST-0011</t>
  </si>
  <si>
    <t>2025-10-09</t>
  </si>
  <si>
    <t>CUST-0039</t>
  </si>
  <si>
    <t>2025-02-27</t>
  </si>
  <si>
    <t>Sofia Rossi</t>
  </si>
  <si>
    <t>2025-11-02</t>
  </si>
  <si>
    <t>CUST-0020</t>
  </si>
  <si>
    <t>2025-03-31</t>
  </si>
  <si>
    <t>Ethan Silva</t>
  </si>
  <si>
    <t>2025-09-24</t>
  </si>
  <si>
    <t>CUST-0016</t>
  </si>
  <si>
    <t>2025-06-27</t>
  </si>
  <si>
    <t>CUST-0032</t>
  </si>
  <si>
    <t>2025-10-15</t>
  </si>
  <si>
    <t>CUST-0005</t>
  </si>
  <si>
    <t>2025-05-28</t>
  </si>
  <si>
    <t>CUST-0004</t>
  </si>
  <si>
    <t>2025-05-08</t>
  </si>
  <si>
    <t>2025-03-16</t>
  </si>
  <si>
    <t>CUST-0010</t>
  </si>
  <si>
    <t>2025-11-29</t>
  </si>
  <si>
    <t>CUST-0034</t>
  </si>
  <si>
    <t>2025-07-07</t>
  </si>
  <si>
    <t>2025-09-02</t>
  </si>
  <si>
    <t>2025-01-06</t>
  </si>
  <si>
    <t>2025-06-16</t>
  </si>
  <si>
    <t>2025-03-12</t>
  </si>
  <si>
    <t>CUST-0009</t>
  </si>
  <si>
    <t>2025-04-06</t>
  </si>
  <si>
    <t>CUST-0002</t>
  </si>
  <si>
    <t>2025-03-02</t>
  </si>
  <si>
    <t>2025-07-22</t>
  </si>
  <si>
    <t>2025-07-13</t>
  </si>
  <si>
    <t>CUST-0013</t>
  </si>
  <si>
    <t>Emma Clarke</t>
  </si>
  <si>
    <t>2025-08-26</t>
  </si>
  <si>
    <t>2025-12-23</t>
  </si>
  <si>
    <t>2025-10-07</t>
  </si>
  <si>
    <t>2025-05-30</t>
  </si>
  <si>
    <t>CUST-0040</t>
  </si>
  <si>
    <t>2025-08-04</t>
  </si>
  <si>
    <t>CUST-0007</t>
  </si>
  <si>
    <t>2025-11-15</t>
  </si>
  <si>
    <t>2025-07-19</t>
  </si>
  <si>
    <t>CUST-0026</t>
  </si>
  <si>
    <t>2025-12-05</t>
  </si>
  <si>
    <t>2025-10-29</t>
  </si>
  <si>
    <t>2025-09-03</t>
  </si>
  <si>
    <t>2025-04-21</t>
  </si>
  <si>
    <t>CUST-0029</t>
  </si>
  <si>
    <t>2025-09-13</t>
  </si>
  <si>
    <t>2025-01-04</t>
  </si>
  <si>
    <t>2025-07-20</t>
  </si>
  <si>
    <t>2025-06-04</t>
  </si>
  <si>
    <t>2025-12-27</t>
  </si>
  <si>
    <t>2025-10-25</t>
  </si>
  <si>
    <t>2025-09-21</t>
  </si>
  <si>
    <t>CUST-0017</t>
  </si>
  <si>
    <t>2025-12-19</t>
  </si>
  <si>
    <t>CUST-0018</t>
  </si>
  <si>
    <t>2025-07-25</t>
  </si>
  <si>
    <t>2025-07-16</t>
  </si>
  <si>
    <t>CUST-0023</t>
  </si>
  <si>
    <t>2025-10-24</t>
  </si>
  <si>
    <t>CUST-0035</t>
  </si>
  <si>
    <t>2025-08-21</t>
  </si>
  <si>
    <t>CUST-0024</t>
  </si>
  <si>
    <t>2025-10-20</t>
  </si>
  <si>
    <t>2025-07-26</t>
  </si>
  <si>
    <t>CUST-0036</t>
  </si>
  <si>
    <t>CUST-0030</t>
  </si>
  <si>
    <t>2025-12-03</t>
  </si>
  <si>
    <t>2025-09-27</t>
  </si>
  <si>
    <t>2025-05-19</t>
  </si>
  <si>
    <t>2025-11-18</t>
  </si>
  <si>
    <t>CUST-0001</t>
  </si>
  <si>
    <t>2025-02-20</t>
  </si>
  <si>
    <t>2025-03-24</t>
  </si>
  <si>
    <t>2025-01-17</t>
  </si>
  <si>
    <t>2025-07-29</t>
  </si>
  <si>
    <t>2025-04-23</t>
  </si>
  <si>
    <t>2025-11-21</t>
  </si>
  <si>
    <t>2025-12-15</t>
  </si>
  <si>
    <t>2025-05-16</t>
  </si>
  <si>
    <t>CUST-0033</t>
  </si>
  <si>
    <t>2025-10-12</t>
  </si>
  <si>
    <t>2025-07-27</t>
  </si>
  <si>
    <t>2025-07-05</t>
  </si>
  <si>
    <t>CUST-0037</t>
  </si>
  <si>
    <t>2025-01-14</t>
  </si>
  <si>
    <t>2025-07-09</t>
  </si>
  <si>
    <t>2025-12-06</t>
  </si>
  <si>
    <t>2025-04-19</t>
  </si>
  <si>
    <t>2025-09-08</t>
  </si>
  <si>
    <t>CUST-0031</t>
  </si>
  <si>
    <t>2025-08-23</t>
  </si>
  <si>
    <t>2025-07-21</t>
  </si>
  <si>
    <t>2025-09-05</t>
  </si>
  <si>
    <t>2025-06-20</t>
  </si>
  <si>
    <t>2025-08-18</t>
  </si>
  <si>
    <t>2025-12-02</t>
  </si>
  <si>
    <t>2025-03-10</t>
  </si>
  <si>
    <t>2025-06-21</t>
  </si>
  <si>
    <t>2025-03-14</t>
  </si>
  <si>
    <t>2025-03-05</t>
  </si>
  <si>
    <t>2025-08-16</t>
  </si>
  <si>
    <t>2025-11-28</t>
  </si>
  <si>
    <t>2025-11-26</t>
  </si>
  <si>
    <t>2025-06-18</t>
  </si>
  <si>
    <t>2025-04-14</t>
  </si>
  <si>
    <t>CUST-0008</t>
  </si>
  <si>
    <t>2025-05-05</t>
  </si>
  <si>
    <t>CUST-0015</t>
  </si>
  <si>
    <t>2025-10-23</t>
  </si>
  <si>
    <t>2025-12-18</t>
  </si>
  <si>
    <t>2025-01-24</t>
  </si>
  <si>
    <t>2025-11-24</t>
  </si>
  <si>
    <t>2025-03-25</t>
  </si>
  <si>
    <t>2025-03-18</t>
  </si>
  <si>
    <t>2025-08-06</t>
  </si>
  <si>
    <t>2025-07-06</t>
  </si>
  <si>
    <t>2025-06-19</t>
  </si>
  <si>
    <t>2025-04-13</t>
  </si>
  <si>
    <t>2025-06-22</t>
  </si>
  <si>
    <t>2025-07-01</t>
  </si>
  <si>
    <t>2025-11-01</t>
  </si>
  <si>
    <t>2025-07-08</t>
  </si>
  <si>
    <t>2025-06-05</t>
  </si>
  <si>
    <t>2025-11-17</t>
  </si>
  <si>
    <t>2025-11-10</t>
  </si>
  <si>
    <t>2025-08-09</t>
  </si>
  <si>
    <t>2025-01-25</t>
  </si>
  <si>
    <t>2025-02-26</t>
  </si>
  <si>
    <t>2025-04-01</t>
  </si>
  <si>
    <t>2025-12-26</t>
  </si>
  <si>
    <t>2025-11-30</t>
  </si>
  <si>
    <t>2025-03-28</t>
  </si>
  <si>
    <t>2025-06-07</t>
  </si>
  <si>
    <t>2025-06-14</t>
  </si>
  <si>
    <t>2025-11-13</t>
  </si>
  <si>
    <t>2025-11-12</t>
  </si>
  <si>
    <t>2025-01-05</t>
  </si>
  <si>
    <t>2025-02-02</t>
  </si>
  <si>
    <t>2025-07-23</t>
  </si>
  <si>
    <t>2025-06-02</t>
  </si>
  <si>
    <t>2025-07-30</t>
  </si>
  <si>
    <t>2025-03-01</t>
  </si>
  <si>
    <t>2025-05-04</t>
  </si>
  <si>
    <t>2025-04-28</t>
  </si>
  <si>
    <t>2025-03-26</t>
  </si>
  <si>
    <t>2025-02-14</t>
  </si>
  <si>
    <t>2025-04-15</t>
  </si>
  <si>
    <t>2025-10-11</t>
  </si>
  <si>
    <t>2025-12-12</t>
  </si>
  <si>
    <t>2025-01-08</t>
  </si>
  <si>
    <t>2025-12-10</t>
  </si>
  <si>
    <t>2025-04-29</t>
  </si>
  <si>
    <t>2025-09-29</t>
  </si>
  <si>
    <t>2025-12-11</t>
  </si>
  <si>
    <t>2025-10-28</t>
  </si>
  <si>
    <t>2025-04-02</t>
  </si>
  <si>
    <t>2025-07-15</t>
  </si>
  <si>
    <t>2025-01-30</t>
  </si>
  <si>
    <t>2025-06-25</t>
  </si>
  <si>
    <t>2025-05-25</t>
  </si>
  <si>
    <t>2025-08-05</t>
  </si>
  <si>
    <t>2025-02-08</t>
  </si>
  <si>
    <t>2025-09-22</t>
  </si>
  <si>
    <t>2025-08-02</t>
  </si>
  <si>
    <t>2025-11-03</t>
  </si>
  <si>
    <t>CUST-0038</t>
  </si>
  <si>
    <t>2025-09-06</t>
  </si>
  <si>
    <t>2025-03-07</t>
  </si>
  <si>
    <t>2025-06-12</t>
  </si>
  <si>
    <t>2025-08-10</t>
  </si>
  <si>
    <t>2025-05-09</t>
  </si>
  <si>
    <t>2025-01-21</t>
  </si>
  <si>
    <t>2025-07-04</t>
  </si>
  <si>
    <t>2025-06-24</t>
  </si>
  <si>
    <t>2025-05-13</t>
  </si>
  <si>
    <t>2025-06-23</t>
  </si>
  <si>
    <t>2025-08-24</t>
  </si>
  <si>
    <t>2025-09-26</t>
  </si>
  <si>
    <t>2025-10-13</t>
  </si>
  <si>
    <t>2025-08-29</t>
  </si>
  <si>
    <t>2025-12-22</t>
  </si>
  <si>
    <t>2025-02-09</t>
  </si>
  <si>
    <t>2025-06-15</t>
  </si>
  <si>
    <t>2025-01-11</t>
  </si>
  <si>
    <t>2025-02-28</t>
  </si>
  <si>
    <t>2025-12-14</t>
  </si>
  <si>
    <t>2025-10-17</t>
  </si>
  <si>
    <t>2025-11-16</t>
  </si>
  <si>
    <t>2025-07-02</t>
  </si>
  <si>
    <t>2025-08-20</t>
  </si>
  <si>
    <t>2025-01-27</t>
  </si>
  <si>
    <t>2025-02-16</t>
  </si>
  <si>
    <t>2025-05-15</t>
  </si>
  <si>
    <t>2025-03-20</t>
  </si>
  <si>
    <t>2025-06-09</t>
  </si>
  <si>
    <t>2025-03-15</t>
  </si>
  <si>
    <t>2025-04-05</t>
  </si>
  <si>
    <t>2025-07-11</t>
  </si>
  <si>
    <t>2025-05-26</t>
  </si>
  <si>
    <t>2025-03-19</t>
  </si>
  <si>
    <t>2025-10-04</t>
  </si>
  <si>
    <t>2025-11-07</t>
  </si>
  <si>
    <t>2025-08-22</t>
  </si>
  <si>
    <t>2025-09-25</t>
  </si>
  <si>
    <t>2025-07-10</t>
  </si>
  <si>
    <t>2025-02-12</t>
  </si>
  <si>
    <t>2025-03-08</t>
  </si>
  <si>
    <t>2025-02-10</t>
  </si>
  <si>
    <t>2025-02-07</t>
  </si>
  <si>
    <t>2025-07-24</t>
  </si>
  <si>
    <t>2025-11-14</t>
  </si>
  <si>
    <t>2025-09-12</t>
  </si>
  <si>
    <t>2025-12-31</t>
  </si>
  <si>
    <t>2025-01-10</t>
  </si>
  <si>
    <t>2025-01-01</t>
  </si>
  <si>
    <t>2025-03-17</t>
  </si>
  <si>
    <t>2025-08-12</t>
  </si>
  <si>
    <t>2025-08-31</t>
  </si>
  <si>
    <t>2025-10-31</t>
  </si>
  <si>
    <t>2025-07-14</t>
  </si>
  <si>
    <t>2025-08-30</t>
  </si>
  <si>
    <t>2025-05-18</t>
  </si>
  <si>
    <t>CustomerName</t>
  </si>
  <si>
    <t>Segment</t>
  </si>
  <si>
    <t>JoinYear</t>
  </si>
  <si>
    <t>Company 0001 Ltd.</t>
  </si>
  <si>
    <t>Enterprise</t>
  </si>
  <si>
    <t>Company 0002 Ltd.</t>
  </si>
  <si>
    <t>Company 0003 Ltd.</t>
  </si>
  <si>
    <t>Mid-Market</t>
  </si>
  <si>
    <t>Company 0004 Ltd.</t>
  </si>
  <si>
    <t>Company 0005 Ltd.</t>
  </si>
  <si>
    <t>Small Business</t>
  </si>
  <si>
    <t>Company 0006 Ltd.</t>
  </si>
  <si>
    <t>Company 0007 Ltd.</t>
  </si>
  <si>
    <t>Company 0008 Ltd.</t>
  </si>
  <si>
    <t>Company 0009 Ltd.</t>
  </si>
  <si>
    <t>Company 0010 Ltd.</t>
  </si>
  <si>
    <t>Company 0011 Ltd.</t>
  </si>
  <si>
    <t>Company 0012 Ltd.</t>
  </si>
  <si>
    <t>Company 0013 Ltd.</t>
  </si>
  <si>
    <t>Company 0014 Ltd.</t>
  </si>
  <si>
    <t>Company 0015 Ltd.</t>
  </si>
  <si>
    <t>Company 0016 Ltd.</t>
  </si>
  <si>
    <t>Company 0017 Ltd.</t>
  </si>
  <si>
    <t>Company 0018 Ltd.</t>
  </si>
  <si>
    <t>Company 0019 Ltd.</t>
  </si>
  <si>
    <t>Company 0020 Ltd.</t>
  </si>
  <si>
    <t>Company 0021 Ltd.</t>
  </si>
  <si>
    <t>Company 0022 Ltd.</t>
  </si>
  <si>
    <t>Company 0023 Ltd.</t>
  </si>
  <si>
    <t>Company 0024 Ltd.</t>
  </si>
  <si>
    <t>Company 0025 Ltd.</t>
  </si>
  <si>
    <t>Company 0026 Ltd.</t>
  </si>
  <si>
    <t>Company 0027 Ltd.</t>
  </si>
  <si>
    <t>Company 0028 Ltd.</t>
  </si>
  <si>
    <t>Company 0029 Ltd.</t>
  </si>
  <si>
    <t>Company 0030 Ltd.</t>
  </si>
  <si>
    <t>Company 0031 Ltd.</t>
  </si>
  <si>
    <t>Company 0032 Ltd.</t>
  </si>
  <si>
    <t>Company 0033 Ltd.</t>
  </si>
  <si>
    <t>Company 0034 Ltd.</t>
  </si>
  <si>
    <t>Company 0035 Ltd.</t>
  </si>
  <si>
    <t>Company 0036 Ltd.</t>
  </si>
  <si>
    <t>Company 0037 Ltd.</t>
  </si>
  <si>
    <t>Company 0038 Ltd.</t>
  </si>
  <si>
    <t>Company 0039 Ltd.</t>
  </si>
  <si>
    <t>Company 0040 Ltd.</t>
  </si>
  <si>
    <t>UnitCost</t>
  </si>
  <si>
    <t>MarginPct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</si>
  <si>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</si>
  <si>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</si>
  <si>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</si>
  <si>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</si>
  <si>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</si>
  <si>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</si>
  <si>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</si>
  <si>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</si>
  <si>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</si>
  <si>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</si>
  <si>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</si>
  <si>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</si>
  <si>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Mine is  Excel 2013  No Sort/Filter tools for this example.</t>
  </si>
  <si>
    <t>Mine is Excel 2013 No Sort/Filter tools for this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</si>
</sst>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#,##0"/>
    <numFmt numFmtId="165" formatCode="0.0\%"/>
    <numFmt numFmtId="166" formatCode="0.0%"/>
    <numFmt numFmtId="167" formatCode="0.0&quot;%&quot;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b/>
      <sz val="12"/>
      <color rgb="FFFFFFFF"/>
      <name val="Arial"/>
      <charset val="1"/>
    </font>
    <font>
      <b/>
      <sz val="18"/>
      <color rgb="FFFFFFFF"/>
      <name val="Arial"/>
    </font>
    <font>
      <i/>
      <sz val="10"/>
      <color rgb="FF595959"/>
      <name val="Arial"/>
    </font>
    <font>
      <sz val="10"/>
      <color rgb="FFFFFFFF"/>
      <name val="Arial"/>
    </font>
    <font>
      <b/>
      <sz val="20"/>
      <color rgb="FFFFFFFF"/>
      <name val="Arial"/>
    </font>
    <font>
      <b/>
      <sz val="12"/>
      <color rgb="FFFFFFFF"/>
      <name val="Arial"/>
    </font>
    <font>
      <b/>
      <sz val="11"/>
      <name val="Arial"/>
    </font>
    <font>
      <b/>
      <sz val="13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9"/>
      <color rgb="FF80808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2E75B6"/>
      </patternFill>
    </fill>
    <fill>
      <patternFill patternType="solid">
        <fgColor rgb="FF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" fontId="0" fillId="0" borderId="0" xfId="0" applyNumberForma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164" fontId="11" fillId="0" borderId="0" xfId="0" applyNumberFormat="1" applyFont="1"/>
    <xf numFmtId="0" fontId="13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166" fontId="11" fillId="0" borderId="0" xfId="0" applyNumberFormat="1" applyFont="1"/>
    <xf numFmtId="0" fontId="4" fillId="4" borderId="0" xfId="0" applyFont="1" applyFill="1" applyAlignment="1">
      <alignment horizontal="left" vertical="center" indent="1"/>
    </xf>
    <xf numFmtId="0" fontId="0" fillId="0" borderId="0" xfId="0"/>
    <xf numFmtId="0" fontId="5" fillId="0" borderId="0" xfId="0" applyFont="1"/>
    <xf numFmtId="0" fontId="6" fillId="7" borderId="0" xfId="0" applyFont="1" applyFill="1"/>
    <xf numFmtId="164" fontId="7" fillId="4" borderId="0" xfId="0" applyNumberFormat="1" applyFont="1" applyFill="1" applyAlignment="1">
      <alignment horizontal="left" vertical="center"/>
    </xf>
    <xf numFmtId="167" fontId="7" fillId="6" borderId="0" xfId="0" applyNumberFormat="1" applyFont="1" applyFill="1" applyAlignment="1">
      <alignment horizontal="left" vertical="center"/>
    </xf>
    <xf numFmtId="0" fontId="8" fillId="6" borderId="0" xfId="0" applyFont="1" applyFill="1"/>
    <xf numFmtId="164" fontId="7" fillId="5" borderId="0" xfId="0" applyNumberFormat="1" applyFont="1" applyFill="1" applyAlignment="1">
      <alignment horizontal="left" vertical="center"/>
    </xf>
    <xf numFmtId="0" fontId="6" fillId="5" borderId="0" xfId="0" applyFont="1" applyFill="1"/>
    <xf numFmtId="0" fontId="6" fillId="4" borderId="0" xfId="0" applyFont="1" applyFill="1"/>
    <xf numFmtId="0" fontId="6" fillId="6" borderId="0" xfId="0" applyFont="1" applyFill="1"/>
    <xf numFmtId="164" fontId="7" fillId="7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vertical="center" indent="1"/>
    </xf>
    <xf numFmtId="0" fontId="3" fillId="3" borderId="0" xfId="0" applyFont="1" applyFill="1"/>
    <xf numFmtId="0" fontId="2" fillId="0" borderId="0" xfId="0" applyFont="1"/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Financial_Model!$B$4</c:f>
              <c:strCache>
                <c:ptCount val="1"/>
                <c:pt idx="0">
                  <c:v>Revenue</c:v>
                </c:pt>
              </c:strCache>
            </c:strRef>
          </c:tx>
          <c:spPr>
            <a:ln w="25000">
              <a:solidFill>
                <a:srgbClr val="1F4E7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c:spPr>
          </c:marker>
          <c:cat>
            <c:strRef>
              <c:f>Financial_Model!$A$5:$A$16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Financial_Model!$B$5:$B$16</c:f>
              <c:numCache>
                <c:formatCode>\$#,##0</c:formatCode>
                <c:ptCount val="12"/>
                <c:pt idx="0">
                  <c:v>29771</c:v>
                </c:pt>
                <c:pt idx="1">
                  <c:v>33061</c:v>
                </c:pt>
                <c:pt idx="2">
                  <c:v>61462</c:v>
                </c:pt>
                <c:pt idx="3">
                  <c:v>26088</c:v>
                </c:pt>
                <c:pt idx="4">
                  <c:v>45155</c:v>
                </c:pt>
                <c:pt idx="5">
                  <c:v>62980</c:v>
                </c:pt>
                <c:pt idx="6">
                  <c:v>93004</c:v>
                </c:pt>
                <c:pt idx="7">
                  <c:v>36426</c:v>
                </c:pt>
                <c:pt idx="8">
                  <c:v>43734</c:v>
                </c:pt>
                <c:pt idx="9">
                  <c:v>59486</c:v>
                </c:pt>
                <c:pt idx="10">
                  <c:v>71447</c:v>
                </c:pt>
                <c:pt idx="11">
                  <c:v>47820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Financial_Model!$D$4</c:f>
              <c:strCache>
                <c:ptCount val="1"/>
                <c:pt idx="0">
                  <c:v>Gross Profit</c:v>
                </c:pt>
              </c:strCache>
            </c:strRef>
          </c:tx>
          <c:spPr>
            <a:ln w="25000">
              <a:solidFill>
                <a:srgbClr val="548235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</c:marker>
          <c:cat>
            <c:strRef>
              <c:f>Financial_Model!$A$5:$A$16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Financial_Model!$D$5:$D$16</c:f>
              <c:numCache>
                <c:formatCode>\$#,##0</c:formatCode>
                <c:ptCount val="12"/>
                <c:pt idx="0">
                  <c:v>13864</c:v>
                </c:pt>
                <c:pt idx="1">
                  <c:v>13169</c:v>
                </c:pt>
                <c:pt idx="2">
                  <c:v>25911</c:v>
                </c:pt>
                <c:pt idx="3">
                  <c:v>13845</c:v>
                </c:pt>
                <c:pt idx="4">
                  <c:v>21341</c:v>
                </c:pt>
                <c:pt idx="5">
                  <c:v>27711</c:v>
                </c:pt>
                <c:pt idx="6">
                  <c:v>41028</c:v>
                </c:pt>
                <c:pt idx="7">
                  <c:v>17748</c:v>
                </c:pt>
                <c:pt idx="8">
                  <c:v>16883</c:v>
                </c:pt>
                <c:pt idx="9">
                  <c:v>25627</c:v>
                </c:pt>
                <c:pt idx="10">
                  <c:v>29458</c:v>
                </c:pt>
                <c:pt idx="11">
                  <c:v>20699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22079936"/>
        <c:axId val="-422071232"/>
      </c:lineChart>
      <c:catAx>
        <c:axId val="-42207993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422071232"/>
        <c:crosses val="autoZero"/>
        <c:auto val="1"/>
        <c:lblAlgn val="ctr"/>
        <c:lblOffset val="100"/>
        <c:noMultiLvlLbl val="1"/>
      </c:catAx>
      <c:valAx>
        <c:axId val="-42207123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($)</a:t>
                </a:r>
              </a:p>
            </c:rich>
          </c:tx>
          <c:layout/>
          <c:overlay val="1"/>
        </c:title>
        <c:numFmt formatCode="\$#,##0" sourceLinked="1"/>
        <c:majorTickMark val="none"/>
        <c:minorTickMark val="none"/>
        <c:tickLblPos val="nextTo"/>
        <c:crossAx val="-422079936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Financial_Model!$B$20</c:f>
              <c:strCache>
                <c:ptCount val="1"/>
                <c:pt idx="0">
                  <c:v>Budgeted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Financial_Model!$A$21:$A$24</c:f>
              <c:strCache>
                <c:ptCount val="4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</c:strCache>
            </c:strRef>
          </c:cat>
          <c:val>
            <c:numRef>
              <c:f>Financial_Model!$B$21:$B$24</c:f>
              <c:numCache>
                <c:formatCode>\$#,##0</c:formatCode>
                <c:ptCount val="4"/>
                <c:pt idx="0">
                  <c:v>2172697</c:v>
                </c:pt>
                <c:pt idx="1">
                  <c:v>1082927</c:v>
                </c:pt>
                <c:pt idx="2">
                  <c:v>1558179</c:v>
                </c:pt>
                <c:pt idx="3">
                  <c:v>1338683</c:v>
                </c:pt>
              </c:numCache>
            </c:numRef>
          </c:val>
        </c:ser>
        <c:ser>
          <c:idx val="1"/>
          <c:order val="1"/>
          <c:tx>
            <c:strRef>
              <c:f>Financial_Model!$C$20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Financial_Model!$A$21:$A$24</c:f>
              <c:strCache>
                <c:ptCount val="4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</c:strCache>
            </c:strRef>
          </c:cat>
          <c:val>
            <c:numRef>
              <c:f>Financial_Model!$C$21:$C$24</c:f>
              <c:numCache>
                <c:formatCode>\$#,##0</c:formatCode>
                <c:ptCount val="4"/>
                <c:pt idx="0">
                  <c:v>2111917</c:v>
                </c:pt>
                <c:pt idx="1">
                  <c:v>1096696</c:v>
                </c:pt>
                <c:pt idx="2">
                  <c:v>1587666</c:v>
                </c:pt>
                <c:pt idx="3">
                  <c:v>1356891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422081568"/>
        <c:axId val="-422073952"/>
      </c:barChart>
      <c:catAx>
        <c:axId val="-422081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422073952"/>
        <c:crosses val="autoZero"/>
        <c:auto val="1"/>
        <c:lblAlgn val="ctr"/>
        <c:lblOffset val="100"/>
        <c:noMultiLvlLbl val="1"/>
      </c:catAx>
      <c:valAx>
        <c:axId val="-422073952"/>
        <c:scaling>
          <c:orientation val="minMax"/>
        </c:scaling>
        <c:delete val="1"/>
        <c:axPos val="l"/>
        <c:majorGridlines/>
        <c:numFmt formatCode="\$#,##0" sourceLinked="1"/>
        <c:majorTickMark val="none"/>
        <c:minorTickMark val="none"/>
        <c:tickLblPos val="nextTo"/>
        <c:crossAx val="-42208156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4097222222222232E-2"/>
          <c:y val="6.1763600592435387E-2"/>
          <c:w val="0.95149305555555552"/>
          <c:h val="0.8764727988151291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Financial_Model!$F$4</c:f>
              <c:strCache>
                <c:ptCount val="1"/>
                <c:pt idx="0">
                  <c:v>Growth Rate % (MoM)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Financial_Model!$A$5:$A$16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Financial_Model!$F$5:$F$16</c:f>
              <c:numCache>
                <c:formatCode>0.0\%</c:formatCode>
                <c:ptCount val="12"/>
                <c:pt idx="0">
                  <c:v>0</c:v>
                </c:pt>
                <c:pt idx="1">
                  <c:v>11.1</c:v>
                </c:pt>
                <c:pt idx="2">
                  <c:v>85.9</c:v>
                </c:pt>
                <c:pt idx="3">
                  <c:v>-57.6</c:v>
                </c:pt>
                <c:pt idx="4">
                  <c:v>73.099999999999994</c:v>
                </c:pt>
                <c:pt idx="5">
                  <c:v>39.5</c:v>
                </c:pt>
                <c:pt idx="6">
                  <c:v>47.7</c:v>
                </c:pt>
                <c:pt idx="7">
                  <c:v>-60.8</c:v>
                </c:pt>
                <c:pt idx="8">
                  <c:v>20.100000000000001</c:v>
                </c:pt>
                <c:pt idx="9">
                  <c:v>36</c:v>
                </c:pt>
                <c:pt idx="10">
                  <c:v>20.100000000000001</c:v>
                </c:pt>
                <c:pt idx="11">
                  <c:v>-33.1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422072864"/>
        <c:axId val="-422077216"/>
      </c:barChart>
      <c:catAx>
        <c:axId val="-42207286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422077216"/>
        <c:crosses val="autoZero"/>
        <c:auto val="1"/>
        <c:lblAlgn val="ctr"/>
        <c:lblOffset val="100"/>
        <c:noMultiLvlLbl val="1"/>
      </c:catAx>
      <c:valAx>
        <c:axId val="-42207721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endParaRPr lang="en-IN"/>
              </a:p>
            </c:rich>
          </c:tx>
          <c:layout/>
          <c:overlay val="0"/>
        </c:title>
        <c:numFmt formatCode="0.0\%" sourceLinked="1"/>
        <c:majorTickMark val="none"/>
        <c:minorTickMark val="none"/>
        <c:tickLblPos val="nextTo"/>
        <c:crossAx val="-42207286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76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10</xdr:row>
      <xdr:rowOff>0</xdr:rowOff>
    </xdr:from>
    <xdr:ext cx="576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66674</xdr:rowOff>
    </xdr:from>
    <xdr:ext cx="5760000" cy="2524125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93.476833912027" createdVersion="5" refreshedVersion="5" minRefreshableVersion="3" recordCount="300">
  <cacheSource type="worksheet">
    <worksheetSource name="SalesData"/>
  </cacheSource>
  <cacheFields count="12">
    <cacheField name="OrderID" numFmtId="0">
      <sharedItems containsSemiMixedTypes="0" containsString="0" containsNumber="1" containsInteger="1" minValue="8001" maxValue="8300"/>
    </cacheField>
    <cacheField name="Date" numFmtId="0">
      <sharedItems/>
    </cacheField>
    <cacheField name="Region" numFmtId="0">
      <sharedItems count="4">
        <s v="Europe"/>
        <s v="North America"/>
        <s v="South America"/>
        <s v="Asia"/>
      </sharedItems>
    </cacheField>
    <cacheField name="Category" numFmtId="0">
      <sharedItems count="3">
        <s v="Furniture"/>
        <s v="Stationery"/>
        <s v="Electronics"/>
      </sharedItems>
    </cacheField>
    <cacheField name="Product" numFmtId="0">
      <sharedItems/>
    </cacheField>
    <cacheField name="CustomerID" numFmtId="0">
      <sharedItems/>
    </cacheField>
    <cacheField name="SalesRep" numFmtId="0">
      <sharedItems/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9" maxValue="1200"/>
    </cacheField>
    <cacheField name="Revenue" numFmtId="164">
      <sharedItems containsSemiMixedTypes="0" containsString="0" containsNumber="1" containsInteger="1" minValue="9" maxValue="18000"/>
    </cacheField>
    <cacheField name="COGS" numFmtId="164">
      <sharedItems containsSemiMixedTypes="0" containsString="0" containsNumber="1" containsInteger="1" minValue="3" maxValue="12750"/>
    </cacheField>
    <cacheField name="GrossProfit" numFmtId="164">
      <sharedItems containsSemiMixedTypes="0" containsString="0" containsNumber="1" containsInteger="1" minValue="6" maxValue="5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00">
  <r>
    <n v="8001"/>
    <s v="2025-08-03"/>
    <x v="0"/>
    <x v="0"/>
    <s v="Bookshelf Unit"/>
    <s v="CUST-0019"/>
    <s v="Lucas Tanaka"/>
    <n v="12"/>
    <n v="190"/>
    <n v="2280"/>
    <n v="1080"/>
    <n v="1200"/>
  </r>
  <r>
    <n v="8002"/>
    <s v="2025-09-20"/>
    <x v="0"/>
    <x v="1"/>
    <s v="Notebook Pack"/>
    <s v="CUST-0012"/>
    <s v="Noah Kim"/>
    <n v="13"/>
    <n v="9"/>
    <n v="117"/>
    <n v="39"/>
    <n v="78"/>
  </r>
  <r>
    <n v="8003"/>
    <s v="2025-10-27"/>
    <x v="1"/>
    <x v="2"/>
    <s v="Laptop Pro 15"/>
    <s v="CUST-0028"/>
    <s v="Liam Novak"/>
    <n v="6"/>
    <n v="1200"/>
    <n v="7200"/>
    <n v="5100"/>
    <n v="2100"/>
  </r>
  <r>
    <n v="8004"/>
    <s v="2025-04-30"/>
    <x v="0"/>
    <x v="0"/>
    <s v="Standing Desk"/>
    <s v="CUST-0003"/>
    <s v="Ava Müller"/>
    <n v="15"/>
    <n v="380"/>
    <n v="5700"/>
    <n v="2700"/>
    <n v="3000"/>
  </r>
  <r>
    <n v="8005"/>
    <s v="2025-01-18"/>
    <x v="2"/>
    <x v="0"/>
    <s v="Filing Cabinet"/>
    <s v="CUST-0022"/>
    <s v="Lucas Tanaka"/>
    <n v="8"/>
    <n v="160"/>
    <n v="1280"/>
    <n v="560"/>
    <n v="720"/>
  </r>
  <r>
    <n v="8006"/>
    <s v="2025-03-21"/>
    <x v="1"/>
    <x v="2"/>
    <s v="Ergo Keyboard"/>
    <s v="CUST-0006"/>
    <s v="Liam Novak"/>
    <n v="1"/>
    <n v="75"/>
    <n v="75"/>
    <n v="30"/>
    <n v="45"/>
  </r>
  <r>
    <n v="8007"/>
    <s v="2025-10-10"/>
    <x v="1"/>
    <x v="1"/>
    <s v="Notebook Pack"/>
    <s v="CUST-0022"/>
    <s v="Ava Müller"/>
    <n v="3"/>
    <n v="9"/>
    <n v="27"/>
    <n v="9"/>
    <n v="18"/>
  </r>
  <r>
    <n v="8008"/>
    <s v="2025-12-07"/>
    <x v="2"/>
    <x v="0"/>
    <s v="Office Chair Deluxe"/>
    <s v="CUST-0003"/>
    <s v="Lucas Tanaka"/>
    <n v="3"/>
    <n v="140"/>
    <n v="420"/>
    <n v="195"/>
    <n v="225"/>
  </r>
  <r>
    <n v="8009"/>
    <s v="2025-04-12"/>
    <x v="0"/>
    <x v="2"/>
    <s v="Wireless Mouse"/>
    <s v="CUST-0014"/>
    <s v="Liam Novak"/>
    <n v="13"/>
    <n v="25"/>
    <n v="325"/>
    <n v="104"/>
    <n v="221"/>
  </r>
  <r>
    <n v="8010"/>
    <s v="2025-10-14"/>
    <x v="1"/>
    <x v="1"/>
    <s v="Premium Pen Set"/>
    <s v="CUST-0025"/>
    <s v="Noah Kim"/>
    <n v="8"/>
    <n v="15"/>
    <n v="120"/>
    <n v="40"/>
    <n v="80"/>
  </r>
  <r>
    <n v="8011"/>
    <s v="2025-10-02"/>
    <x v="3"/>
    <x v="0"/>
    <s v="Office Chair Deluxe"/>
    <s v="CUST-0027"/>
    <s v="Olivia Dubois"/>
    <n v="15"/>
    <n v="140"/>
    <n v="2100"/>
    <n v="975"/>
    <n v="1125"/>
  </r>
  <r>
    <n v="8012"/>
    <s v="2025-07-17"/>
    <x v="3"/>
    <x v="1"/>
    <s v="Notebook Pack"/>
    <s v="CUST-0021"/>
    <s v="Lucas Tanaka"/>
    <n v="9"/>
    <n v="9"/>
    <n v="81"/>
    <n v="27"/>
    <n v="54"/>
  </r>
  <r>
    <n v="8013"/>
    <s v="2025-02-17"/>
    <x v="2"/>
    <x v="2"/>
    <s v="4K Monitor"/>
    <s v="CUST-0011"/>
    <s v="Lucas Tanaka"/>
    <n v="1"/>
    <n v="420"/>
    <n v="420"/>
    <n v="220"/>
    <n v="200"/>
  </r>
  <r>
    <n v="8014"/>
    <s v="2025-10-09"/>
    <x v="1"/>
    <x v="1"/>
    <s v="Notebook Pack"/>
    <s v="CUST-0039"/>
    <s v="Noah Kim"/>
    <n v="2"/>
    <n v="9"/>
    <n v="18"/>
    <n v="6"/>
    <n v="12"/>
  </r>
  <r>
    <n v="8015"/>
    <s v="2025-02-27"/>
    <x v="3"/>
    <x v="1"/>
    <s v="Premium Pen Set"/>
    <s v="CUST-0012"/>
    <s v="Sofia Rossi"/>
    <n v="10"/>
    <n v="15"/>
    <n v="150"/>
    <n v="50"/>
    <n v="100"/>
  </r>
  <r>
    <n v="8016"/>
    <s v="2025-11-02"/>
    <x v="3"/>
    <x v="2"/>
    <s v="Ergo Keyboard"/>
    <s v="CUST-0020"/>
    <s v="Noah Kim"/>
    <n v="6"/>
    <n v="75"/>
    <n v="450"/>
    <n v="180"/>
    <n v="270"/>
  </r>
  <r>
    <n v="8017"/>
    <s v="2025-03-31"/>
    <x v="1"/>
    <x v="0"/>
    <s v="Office Chair Deluxe"/>
    <s v="CUST-0028"/>
    <s v="Ethan Silva"/>
    <n v="2"/>
    <n v="140"/>
    <n v="280"/>
    <n v="130"/>
    <n v="150"/>
  </r>
  <r>
    <n v="8018"/>
    <s v="2025-09-24"/>
    <x v="0"/>
    <x v="2"/>
    <s v="Laptop Pro 15"/>
    <s v="CUST-0016"/>
    <s v="Ava Müller"/>
    <n v="11"/>
    <n v="1200"/>
    <n v="13200"/>
    <n v="9350"/>
    <n v="3850"/>
  </r>
  <r>
    <n v="8019"/>
    <s v="2025-06-27"/>
    <x v="0"/>
    <x v="0"/>
    <s v="Filing Cabinet"/>
    <s v="CUST-0032"/>
    <s v="Ava Müller"/>
    <n v="1"/>
    <n v="160"/>
    <n v="160"/>
    <n v="70"/>
    <n v="90"/>
  </r>
  <r>
    <n v="8020"/>
    <s v="2025-10-15"/>
    <x v="0"/>
    <x v="0"/>
    <s v="Standing Desk"/>
    <s v="CUST-0005"/>
    <s v="Lucas Tanaka"/>
    <n v="3"/>
    <n v="380"/>
    <n v="1140"/>
    <n v="540"/>
    <n v="600"/>
  </r>
  <r>
    <n v="8021"/>
    <s v="2025-05-28"/>
    <x v="2"/>
    <x v="1"/>
    <s v="Notebook Pack"/>
    <s v="CUST-0004"/>
    <s v="Olivia Dubois"/>
    <n v="1"/>
    <n v="9"/>
    <n v="9"/>
    <n v="3"/>
    <n v="6"/>
  </r>
  <r>
    <n v="8022"/>
    <s v="2025-05-08"/>
    <x v="3"/>
    <x v="2"/>
    <s v="Laptop Pro 15"/>
    <s v="CUST-0011"/>
    <s v="Ava Müller"/>
    <n v="7"/>
    <n v="1200"/>
    <n v="8400"/>
    <n v="5950"/>
    <n v="2450"/>
  </r>
  <r>
    <n v="8023"/>
    <s v="2025-03-16"/>
    <x v="1"/>
    <x v="2"/>
    <s v="Ergo Keyboard"/>
    <s v="CUST-0010"/>
    <s v="Lucas Tanaka"/>
    <n v="11"/>
    <n v="75"/>
    <n v="825"/>
    <n v="330"/>
    <n v="495"/>
  </r>
  <r>
    <n v="8024"/>
    <s v="2025-11-29"/>
    <x v="1"/>
    <x v="2"/>
    <s v="4K Monitor"/>
    <s v="CUST-0034"/>
    <s v="Lucas Tanaka"/>
    <n v="3"/>
    <n v="420"/>
    <n v="1260"/>
    <n v="660"/>
    <n v="600"/>
  </r>
  <r>
    <n v="8025"/>
    <s v="2025-07-07"/>
    <x v="1"/>
    <x v="0"/>
    <s v="Standing Desk"/>
    <s v="CUST-0010"/>
    <s v="Ethan Silva"/>
    <n v="15"/>
    <n v="380"/>
    <n v="5700"/>
    <n v="2700"/>
    <n v="3000"/>
  </r>
  <r>
    <n v="8026"/>
    <s v="2025-09-02"/>
    <x v="2"/>
    <x v="1"/>
    <s v="Notebook Pack"/>
    <s v="CUST-0020"/>
    <s v="Sofia Rossi"/>
    <n v="10"/>
    <n v="9"/>
    <n v="90"/>
    <n v="30"/>
    <n v="60"/>
  </r>
  <r>
    <n v="8027"/>
    <s v="2025-01-06"/>
    <x v="3"/>
    <x v="0"/>
    <s v="Office Chair Deluxe"/>
    <s v="CUST-0025"/>
    <s v="Sofia Rossi"/>
    <n v="13"/>
    <n v="140"/>
    <n v="1820"/>
    <n v="845"/>
    <n v="975"/>
  </r>
  <r>
    <n v="8028"/>
    <s v="2025-06-16"/>
    <x v="1"/>
    <x v="2"/>
    <s v="4K Monitor"/>
    <s v="CUST-0016"/>
    <s v="Ava Müller"/>
    <n v="10"/>
    <n v="420"/>
    <n v="4200"/>
    <n v="2200"/>
    <n v="2000"/>
  </r>
  <r>
    <n v="8029"/>
    <s v="2025-03-12"/>
    <x v="3"/>
    <x v="0"/>
    <s v="Bookshelf Unit"/>
    <s v="CUST-0009"/>
    <s v="Sofia Rossi"/>
    <n v="13"/>
    <n v="190"/>
    <n v="2470"/>
    <n v="1170"/>
    <n v="1300"/>
  </r>
  <r>
    <n v="8030"/>
    <s v="2025-04-06"/>
    <x v="1"/>
    <x v="0"/>
    <s v="Bookshelf Unit"/>
    <s v="CUST-0002"/>
    <s v="Lucas Tanaka"/>
    <n v="2"/>
    <n v="190"/>
    <n v="380"/>
    <n v="180"/>
    <n v="200"/>
  </r>
  <r>
    <n v="8031"/>
    <s v="2025-03-02"/>
    <x v="0"/>
    <x v="2"/>
    <s v="Wireless Mouse"/>
    <s v="CUST-0019"/>
    <s v="Sofia Rossi"/>
    <n v="14"/>
    <n v="25"/>
    <n v="350"/>
    <n v="112"/>
    <n v="238"/>
  </r>
  <r>
    <n v="8032"/>
    <s v="2025-07-22"/>
    <x v="3"/>
    <x v="1"/>
    <s v="Premium Pen Set"/>
    <s v="CUST-0032"/>
    <s v="Noah Kim"/>
    <n v="6"/>
    <n v="15"/>
    <n v="90"/>
    <n v="30"/>
    <n v="60"/>
  </r>
  <r>
    <n v="8033"/>
    <s v="2025-07-13"/>
    <x v="0"/>
    <x v="0"/>
    <s v="Office Chair Deluxe"/>
    <s v="CUST-0013"/>
    <s v="Emma Clarke"/>
    <n v="3"/>
    <n v="140"/>
    <n v="420"/>
    <n v="195"/>
    <n v="225"/>
  </r>
  <r>
    <n v="8034"/>
    <s v="2025-08-26"/>
    <x v="1"/>
    <x v="2"/>
    <s v="Laptop Pro 15"/>
    <s v="CUST-0005"/>
    <s v="Ava Müller"/>
    <n v="7"/>
    <n v="1200"/>
    <n v="8400"/>
    <n v="5950"/>
    <n v="2450"/>
  </r>
  <r>
    <n v="8035"/>
    <s v="2025-12-23"/>
    <x v="0"/>
    <x v="0"/>
    <s v="Standing Desk"/>
    <s v="CUST-0039"/>
    <s v="Ethan Silva"/>
    <n v="5"/>
    <n v="380"/>
    <n v="1900"/>
    <n v="900"/>
    <n v="1000"/>
  </r>
  <r>
    <n v="8036"/>
    <s v="2025-03-21"/>
    <x v="1"/>
    <x v="0"/>
    <s v="Standing Desk"/>
    <s v="CUST-0020"/>
    <s v="Olivia Dubois"/>
    <n v="7"/>
    <n v="380"/>
    <n v="2660"/>
    <n v="1260"/>
    <n v="1400"/>
  </r>
  <r>
    <n v="8037"/>
    <s v="2025-10-07"/>
    <x v="2"/>
    <x v="0"/>
    <s v="Filing Cabinet"/>
    <s v="CUST-0039"/>
    <s v="Emma Clarke"/>
    <n v="2"/>
    <n v="160"/>
    <n v="320"/>
    <n v="140"/>
    <n v="180"/>
  </r>
  <r>
    <n v="8038"/>
    <s v="2025-05-30"/>
    <x v="3"/>
    <x v="1"/>
    <s v="Premium Pen Set"/>
    <s v="CUST-0040"/>
    <s v="Noah Kim"/>
    <n v="5"/>
    <n v="15"/>
    <n v="75"/>
    <n v="25"/>
    <n v="50"/>
  </r>
  <r>
    <n v="8039"/>
    <s v="2025-06-16"/>
    <x v="1"/>
    <x v="0"/>
    <s v="Filing Cabinet"/>
    <s v="CUST-0013"/>
    <s v="Ethan Silva"/>
    <n v="14"/>
    <n v="160"/>
    <n v="2240"/>
    <n v="980"/>
    <n v="1260"/>
  </r>
  <r>
    <n v="8040"/>
    <s v="2025-08-04"/>
    <x v="1"/>
    <x v="2"/>
    <s v="Ergo Keyboard"/>
    <s v="CUST-0007"/>
    <s v="Liam Novak"/>
    <n v="11"/>
    <n v="75"/>
    <n v="825"/>
    <n v="330"/>
    <n v="495"/>
  </r>
  <r>
    <n v="8041"/>
    <s v="2025-11-15"/>
    <x v="1"/>
    <x v="1"/>
    <s v="Notebook Pack"/>
    <s v="CUST-0002"/>
    <s v="Lucas Tanaka"/>
    <n v="9"/>
    <n v="9"/>
    <n v="81"/>
    <n v="27"/>
    <n v="54"/>
  </r>
  <r>
    <n v="8042"/>
    <s v="2025-07-19"/>
    <x v="2"/>
    <x v="1"/>
    <s v="Premium Pen Set"/>
    <s v="CUST-0026"/>
    <s v="Liam Novak"/>
    <n v="9"/>
    <n v="15"/>
    <n v="135"/>
    <n v="45"/>
    <n v="90"/>
  </r>
  <r>
    <n v="8043"/>
    <s v="2025-12-05"/>
    <x v="0"/>
    <x v="2"/>
    <s v="Laptop Pro 15"/>
    <s v="CUST-0028"/>
    <s v="Emma Clarke"/>
    <n v="1"/>
    <n v="1200"/>
    <n v="1200"/>
    <n v="850"/>
    <n v="350"/>
  </r>
  <r>
    <n v="8044"/>
    <s v="2025-10-29"/>
    <x v="0"/>
    <x v="2"/>
    <s v="4K Monitor"/>
    <s v="CUST-0026"/>
    <s v="Ava Müller"/>
    <n v="12"/>
    <n v="420"/>
    <n v="5040"/>
    <n v="2640"/>
    <n v="2400"/>
  </r>
  <r>
    <n v="8045"/>
    <s v="2025-07-17"/>
    <x v="2"/>
    <x v="0"/>
    <s v="Standing Desk"/>
    <s v="CUST-0021"/>
    <s v="Lucas Tanaka"/>
    <n v="7"/>
    <n v="380"/>
    <n v="2660"/>
    <n v="1260"/>
    <n v="1400"/>
  </r>
  <r>
    <n v="8046"/>
    <s v="2025-09-03"/>
    <x v="0"/>
    <x v="2"/>
    <s v="Wireless Mouse"/>
    <s v="CUST-0012"/>
    <s v="Lucas Tanaka"/>
    <n v="1"/>
    <n v="25"/>
    <n v="25"/>
    <n v="8"/>
    <n v="17"/>
  </r>
  <r>
    <n v="8047"/>
    <s v="2025-04-21"/>
    <x v="3"/>
    <x v="0"/>
    <s v="Filing Cabinet"/>
    <s v="CUST-0029"/>
    <s v="Olivia Dubois"/>
    <n v="15"/>
    <n v="160"/>
    <n v="2400"/>
    <n v="1050"/>
    <n v="1350"/>
  </r>
  <r>
    <n v="8048"/>
    <s v="2025-09-13"/>
    <x v="0"/>
    <x v="1"/>
    <s v="Notebook Pack"/>
    <s v="CUST-0025"/>
    <s v="Olivia Dubois"/>
    <n v="15"/>
    <n v="9"/>
    <n v="135"/>
    <n v="45"/>
    <n v="90"/>
  </r>
  <r>
    <n v="8049"/>
    <s v="2025-01-04"/>
    <x v="2"/>
    <x v="1"/>
    <s v="Premium Pen Set"/>
    <s v="CUST-0011"/>
    <s v="Ethan Silva"/>
    <n v="12"/>
    <n v="15"/>
    <n v="180"/>
    <n v="60"/>
    <n v="120"/>
  </r>
  <r>
    <n v="8050"/>
    <s v="2025-07-20"/>
    <x v="0"/>
    <x v="2"/>
    <s v="4K Monitor"/>
    <s v="CUST-0010"/>
    <s v="Liam Novak"/>
    <n v="15"/>
    <n v="420"/>
    <n v="6300"/>
    <n v="3300"/>
    <n v="3000"/>
  </r>
  <r>
    <n v="8051"/>
    <s v="2025-06-04"/>
    <x v="0"/>
    <x v="2"/>
    <s v="Wireless Mouse"/>
    <s v="CUST-0040"/>
    <s v="Ava Müller"/>
    <n v="9"/>
    <n v="25"/>
    <n v="225"/>
    <n v="72"/>
    <n v="153"/>
  </r>
  <r>
    <n v="8052"/>
    <s v="2025-12-27"/>
    <x v="2"/>
    <x v="2"/>
    <s v="Wireless Mouse"/>
    <s v="CUST-0028"/>
    <s v="Noah Kim"/>
    <n v="3"/>
    <n v="25"/>
    <n v="75"/>
    <n v="24"/>
    <n v="51"/>
  </r>
  <r>
    <n v="8053"/>
    <s v="2025-10-25"/>
    <x v="3"/>
    <x v="2"/>
    <s v="Ergo Keyboard"/>
    <s v="CUST-0013"/>
    <s v="Olivia Dubois"/>
    <n v="11"/>
    <n v="75"/>
    <n v="825"/>
    <n v="330"/>
    <n v="495"/>
  </r>
  <r>
    <n v="8054"/>
    <s v="2025-09-21"/>
    <x v="1"/>
    <x v="2"/>
    <s v="Laptop Pro 15"/>
    <s v="CUST-0017"/>
    <s v="Sofia Rossi"/>
    <n v="6"/>
    <n v="1200"/>
    <n v="7200"/>
    <n v="5100"/>
    <n v="2100"/>
  </r>
  <r>
    <n v="8055"/>
    <s v="2025-12-19"/>
    <x v="0"/>
    <x v="0"/>
    <s v="Standing Desk"/>
    <s v="CUST-0018"/>
    <s v="Ava Müller"/>
    <n v="10"/>
    <n v="380"/>
    <n v="3800"/>
    <n v="1800"/>
    <n v="2000"/>
  </r>
  <r>
    <n v="8056"/>
    <s v="2025-07-25"/>
    <x v="0"/>
    <x v="0"/>
    <s v="Bookshelf Unit"/>
    <s v="CUST-0028"/>
    <s v="Lucas Tanaka"/>
    <n v="8"/>
    <n v="190"/>
    <n v="1520"/>
    <n v="720"/>
    <n v="800"/>
  </r>
  <r>
    <n v="8057"/>
    <s v="2025-07-16"/>
    <x v="3"/>
    <x v="0"/>
    <s v="Office Chair Deluxe"/>
    <s v="CUST-0040"/>
    <s v="Olivia Dubois"/>
    <n v="11"/>
    <n v="140"/>
    <n v="1540"/>
    <n v="715"/>
    <n v="825"/>
  </r>
  <r>
    <n v="8058"/>
    <s v="2025-01-18"/>
    <x v="1"/>
    <x v="0"/>
    <s v="Standing Desk"/>
    <s v="CUST-0023"/>
    <s v="Ethan Silva"/>
    <n v="4"/>
    <n v="380"/>
    <n v="1520"/>
    <n v="720"/>
    <n v="800"/>
  </r>
  <r>
    <n v="8059"/>
    <s v="2025-10-24"/>
    <x v="1"/>
    <x v="2"/>
    <s v="Wireless Mouse"/>
    <s v="CUST-0003"/>
    <s v="Ava Müller"/>
    <n v="9"/>
    <n v="25"/>
    <n v="225"/>
    <n v="72"/>
    <n v="153"/>
  </r>
  <r>
    <n v="8060"/>
    <s v="2025-01-04"/>
    <x v="2"/>
    <x v="1"/>
    <s v="Notebook Pack"/>
    <s v="CUST-0035"/>
    <s v="Sofia Rossi"/>
    <n v="4"/>
    <n v="9"/>
    <n v="36"/>
    <n v="12"/>
    <n v="24"/>
  </r>
  <r>
    <n v="8061"/>
    <s v="2025-08-21"/>
    <x v="1"/>
    <x v="2"/>
    <s v="4K Monitor"/>
    <s v="CUST-0024"/>
    <s v="Emma Clarke"/>
    <n v="4"/>
    <n v="420"/>
    <n v="1680"/>
    <n v="880"/>
    <n v="800"/>
  </r>
  <r>
    <n v="8062"/>
    <s v="2025-10-20"/>
    <x v="3"/>
    <x v="0"/>
    <s v="Office Chair Deluxe"/>
    <s v="CUST-0028"/>
    <s v="Emma Clarke"/>
    <n v="3"/>
    <n v="140"/>
    <n v="420"/>
    <n v="195"/>
    <n v="225"/>
  </r>
  <r>
    <n v="8063"/>
    <s v="2025-07-26"/>
    <x v="3"/>
    <x v="0"/>
    <s v="Standing Desk"/>
    <s v="CUST-0036"/>
    <s v="Noah Kim"/>
    <n v="7"/>
    <n v="380"/>
    <n v="2660"/>
    <n v="1260"/>
    <n v="1400"/>
  </r>
  <r>
    <n v="8064"/>
    <s v="2025-10-27"/>
    <x v="0"/>
    <x v="0"/>
    <s v="Filing Cabinet"/>
    <s v="CUST-0030"/>
    <s v="Emma Clarke"/>
    <n v="13"/>
    <n v="160"/>
    <n v="2080"/>
    <n v="910"/>
    <n v="1170"/>
  </r>
  <r>
    <n v="8065"/>
    <s v="2025-12-03"/>
    <x v="1"/>
    <x v="2"/>
    <s v="Wireless Mouse"/>
    <s v="CUST-0013"/>
    <s v="Sofia Rossi"/>
    <n v="7"/>
    <n v="25"/>
    <n v="175"/>
    <n v="56"/>
    <n v="119"/>
  </r>
  <r>
    <n v="8066"/>
    <s v="2025-09-27"/>
    <x v="1"/>
    <x v="1"/>
    <s v="Notebook Pack"/>
    <s v="CUST-0039"/>
    <s v="Lucas Tanaka"/>
    <n v="14"/>
    <n v="9"/>
    <n v="126"/>
    <n v="42"/>
    <n v="84"/>
  </r>
  <r>
    <n v="8067"/>
    <s v="2025-05-19"/>
    <x v="2"/>
    <x v="2"/>
    <s v="Ergo Keyboard"/>
    <s v="CUST-0010"/>
    <s v="Ethan Silva"/>
    <n v="3"/>
    <n v="75"/>
    <n v="225"/>
    <n v="90"/>
    <n v="135"/>
  </r>
  <r>
    <n v="8068"/>
    <s v="2025-11-18"/>
    <x v="3"/>
    <x v="2"/>
    <s v="4K Monitor"/>
    <s v="CUST-0001"/>
    <s v="Liam Novak"/>
    <n v="11"/>
    <n v="420"/>
    <n v="4620"/>
    <n v="2420"/>
    <n v="2200"/>
  </r>
  <r>
    <n v="8069"/>
    <s v="2025-02-20"/>
    <x v="1"/>
    <x v="0"/>
    <s v="Office Chair Deluxe"/>
    <s v="CUST-0013"/>
    <s v="Ethan Silva"/>
    <n v="9"/>
    <n v="140"/>
    <n v="1260"/>
    <n v="585"/>
    <n v="675"/>
  </r>
  <r>
    <n v="8070"/>
    <s v="2025-03-24"/>
    <x v="3"/>
    <x v="2"/>
    <s v="Ergo Keyboard"/>
    <s v="CUST-0003"/>
    <s v="Lucas Tanaka"/>
    <n v="1"/>
    <n v="75"/>
    <n v="75"/>
    <n v="30"/>
    <n v="45"/>
  </r>
  <r>
    <n v="8071"/>
    <s v="2025-01-17"/>
    <x v="3"/>
    <x v="0"/>
    <s v="Bookshelf Unit"/>
    <s v="CUST-0007"/>
    <s v="Noah Kim"/>
    <n v="3"/>
    <n v="190"/>
    <n v="570"/>
    <n v="270"/>
    <n v="300"/>
  </r>
  <r>
    <n v="8072"/>
    <s v="2025-07-29"/>
    <x v="3"/>
    <x v="1"/>
    <s v="Premium Pen Set"/>
    <s v="CUST-0013"/>
    <s v="Noah Kim"/>
    <n v="5"/>
    <n v="15"/>
    <n v="75"/>
    <n v="25"/>
    <n v="50"/>
  </r>
  <r>
    <n v="8073"/>
    <s v="2025-04-23"/>
    <x v="2"/>
    <x v="2"/>
    <s v="Wireless Mouse"/>
    <s v="CUST-0014"/>
    <s v="Emma Clarke"/>
    <n v="6"/>
    <n v="25"/>
    <n v="150"/>
    <n v="48"/>
    <n v="102"/>
  </r>
  <r>
    <n v="8074"/>
    <s v="2025-11-21"/>
    <x v="3"/>
    <x v="0"/>
    <s v="Filing Cabinet"/>
    <s v="CUST-0012"/>
    <s v="Emma Clarke"/>
    <n v="9"/>
    <n v="160"/>
    <n v="1440"/>
    <n v="630"/>
    <n v="810"/>
  </r>
  <r>
    <n v="8075"/>
    <s v="2025-03-24"/>
    <x v="3"/>
    <x v="1"/>
    <s v="Notebook Pack"/>
    <s v="CUST-0029"/>
    <s v="Emma Clarke"/>
    <n v="8"/>
    <n v="9"/>
    <n v="72"/>
    <n v="24"/>
    <n v="48"/>
  </r>
  <r>
    <n v="8076"/>
    <s v="2025-12-15"/>
    <x v="3"/>
    <x v="2"/>
    <s v="Laptop Pro 15"/>
    <s v="CUST-0040"/>
    <s v="Liam Novak"/>
    <n v="4"/>
    <n v="1200"/>
    <n v="4800"/>
    <n v="3400"/>
    <n v="1400"/>
  </r>
  <r>
    <n v="8077"/>
    <s v="2025-08-26"/>
    <x v="3"/>
    <x v="0"/>
    <s v="Bookshelf Unit"/>
    <s v="CUST-0024"/>
    <s v="Emma Clarke"/>
    <n v="4"/>
    <n v="190"/>
    <n v="760"/>
    <n v="360"/>
    <n v="400"/>
  </r>
  <r>
    <n v="8078"/>
    <s v="2025-05-16"/>
    <x v="3"/>
    <x v="0"/>
    <s v="Office Chair Deluxe"/>
    <s v="CUST-0039"/>
    <s v="Emma Clarke"/>
    <n v="10"/>
    <n v="140"/>
    <n v="1400"/>
    <n v="650"/>
    <n v="750"/>
  </r>
  <r>
    <n v="8079"/>
    <s v="2025-10-02"/>
    <x v="2"/>
    <x v="0"/>
    <s v="Office Chair Deluxe"/>
    <s v="CUST-0033"/>
    <s v="Ava Müller"/>
    <n v="3"/>
    <n v="140"/>
    <n v="420"/>
    <n v="195"/>
    <n v="225"/>
  </r>
  <r>
    <n v="8080"/>
    <s v="2025-10-12"/>
    <x v="0"/>
    <x v="0"/>
    <s v="Standing Desk"/>
    <s v="CUST-0019"/>
    <s v="Lucas Tanaka"/>
    <n v="9"/>
    <n v="380"/>
    <n v="3420"/>
    <n v="1620"/>
    <n v="1800"/>
  </r>
  <r>
    <n v="8081"/>
    <s v="2025-07-27"/>
    <x v="3"/>
    <x v="2"/>
    <s v="Wireless Mouse"/>
    <s v="CUST-0039"/>
    <s v="Sofia Rossi"/>
    <n v="4"/>
    <n v="25"/>
    <n v="100"/>
    <n v="32"/>
    <n v="68"/>
  </r>
  <r>
    <n v="8082"/>
    <s v="2025-07-05"/>
    <x v="3"/>
    <x v="1"/>
    <s v="Premium Pen Set"/>
    <s v="CUST-0037"/>
    <s v="Sofia Rossi"/>
    <n v="11"/>
    <n v="15"/>
    <n v="165"/>
    <n v="55"/>
    <n v="110"/>
  </r>
  <r>
    <n v="8083"/>
    <s v="2025-01-14"/>
    <x v="1"/>
    <x v="0"/>
    <s v="Bookshelf Unit"/>
    <s v="CUST-0014"/>
    <s v="Liam Novak"/>
    <n v="10"/>
    <n v="190"/>
    <n v="1900"/>
    <n v="900"/>
    <n v="1000"/>
  </r>
  <r>
    <n v="8084"/>
    <s v="2025-07-09"/>
    <x v="0"/>
    <x v="1"/>
    <s v="Premium Pen Set"/>
    <s v="CUST-0033"/>
    <s v="Olivia Dubois"/>
    <n v="9"/>
    <n v="15"/>
    <n v="135"/>
    <n v="45"/>
    <n v="90"/>
  </r>
  <r>
    <n v="8085"/>
    <s v="2025-12-06"/>
    <x v="1"/>
    <x v="0"/>
    <s v="Office Chair Deluxe"/>
    <s v="CUST-0028"/>
    <s v="Lucas Tanaka"/>
    <n v="4"/>
    <n v="140"/>
    <n v="560"/>
    <n v="260"/>
    <n v="300"/>
  </r>
  <r>
    <n v="8086"/>
    <s v="2025-04-19"/>
    <x v="2"/>
    <x v="0"/>
    <s v="Standing Desk"/>
    <s v="CUST-0017"/>
    <s v="Sofia Rossi"/>
    <n v="11"/>
    <n v="380"/>
    <n v="4180"/>
    <n v="1980"/>
    <n v="2200"/>
  </r>
  <r>
    <n v="8087"/>
    <s v="2025-09-08"/>
    <x v="2"/>
    <x v="0"/>
    <s v="Bookshelf Unit"/>
    <s v="CUST-0031"/>
    <s v="Olivia Dubois"/>
    <n v="4"/>
    <n v="190"/>
    <n v="760"/>
    <n v="360"/>
    <n v="400"/>
  </r>
  <r>
    <n v="8088"/>
    <s v="2025-08-23"/>
    <x v="1"/>
    <x v="1"/>
    <s v="Premium Pen Set"/>
    <s v="CUST-0014"/>
    <s v="Emma Clarke"/>
    <n v="14"/>
    <n v="15"/>
    <n v="210"/>
    <n v="70"/>
    <n v="140"/>
  </r>
  <r>
    <n v="8089"/>
    <s v="2025-06-04"/>
    <x v="3"/>
    <x v="0"/>
    <s v="Filing Cabinet"/>
    <s v="CUST-0009"/>
    <s v="Noah Kim"/>
    <n v="8"/>
    <n v="160"/>
    <n v="1280"/>
    <n v="560"/>
    <n v="720"/>
  </r>
  <r>
    <n v="8090"/>
    <s v="2025-07-21"/>
    <x v="0"/>
    <x v="0"/>
    <s v="Bookshelf Unit"/>
    <s v="CUST-0003"/>
    <s v="Emma Clarke"/>
    <n v="3"/>
    <n v="190"/>
    <n v="570"/>
    <n v="270"/>
    <n v="300"/>
  </r>
  <r>
    <n v="8091"/>
    <s v="2025-08-23"/>
    <x v="3"/>
    <x v="0"/>
    <s v="Filing Cabinet"/>
    <s v="CUST-0013"/>
    <s v="Lucas Tanaka"/>
    <n v="14"/>
    <n v="160"/>
    <n v="2240"/>
    <n v="980"/>
    <n v="1260"/>
  </r>
  <r>
    <n v="8092"/>
    <s v="2025-09-05"/>
    <x v="0"/>
    <x v="1"/>
    <s v="Premium Pen Set"/>
    <s v="CUST-0004"/>
    <s v="Emma Clarke"/>
    <n v="13"/>
    <n v="15"/>
    <n v="195"/>
    <n v="65"/>
    <n v="130"/>
  </r>
  <r>
    <n v="8093"/>
    <s v="2025-06-20"/>
    <x v="3"/>
    <x v="0"/>
    <s v="Office Chair Deluxe"/>
    <s v="CUST-0030"/>
    <s v="Ethan Silva"/>
    <n v="8"/>
    <n v="140"/>
    <n v="1120"/>
    <n v="520"/>
    <n v="600"/>
  </r>
  <r>
    <n v="8094"/>
    <s v="2025-08-18"/>
    <x v="2"/>
    <x v="0"/>
    <s v="Filing Cabinet"/>
    <s v="CUST-0039"/>
    <s v="Liam Novak"/>
    <n v="11"/>
    <n v="160"/>
    <n v="1760"/>
    <n v="770"/>
    <n v="990"/>
  </r>
  <r>
    <n v="8095"/>
    <s v="2025-12-02"/>
    <x v="3"/>
    <x v="2"/>
    <s v="Wireless Mouse"/>
    <s v="CUST-0017"/>
    <s v="Lucas Tanaka"/>
    <n v="6"/>
    <n v="25"/>
    <n v="150"/>
    <n v="48"/>
    <n v="102"/>
  </r>
  <r>
    <n v="8096"/>
    <s v="2025-06-20"/>
    <x v="1"/>
    <x v="0"/>
    <s v="Standing Desk"/>
    <s v="CUST-0005"/>
    <s v="Olivia Dubois"/>
    <n v="10"/>
    <n v="380"/>
    <n v="3800"/>
    <n v="1800"/>
    <n v="2000"/>
  </r>
  <r>
    <n v="8097"/>
    <s v="2025-05-16"/>
    <x v="0"/>
    <x v="0"/>
    <s v="Office Chair Deluxe"/>
    <s v="CUST-0007"/>
    <s v="Olivia Dubois"/>
    <n v="3"/>
    <n v="140"/>
    <n v="420"/>
    <n v="195"/>
    <n v="225"/>
  </r>
  <r>
    <n v="8098"/>
    <s v="2025-03-10"/>
    <x v="0"/>
    <x v="1"/>
    <s v="Premium Pen Set"/>
    <s v="CUST-0032"/>
    <s v="Lucas Tanaka"/>
    <n v="4"/>
    <n v="15"/>
    <n v="60"/>
    <n v="20"/>
    <n v="40"/>
  </r>
  <r>
    <n v="8099"/>
    <s v="2025-06-21"/>
    <x v="0"/>
    <x v="2"/>
    <s v="Laptop Pro 15"/>
    <s v="CUST-0034"/>
    <s v="Ethan Silva"/>
    <n v="11"/>
    <n v="1200"/>
    <n v="13200"/>
    <n v="9350"/>
    <n v="3850"/>
  </r>
  <r>
    <n v="8100"/>
    <s v="2025-03-14"/>
    <x v="1"/>
    <x v="0"/>
    <s v="Standing Desk"/>
    <s v="CUST-0019"/>
    <s v="Emma Clarke"/>
    <n v="14"/>
    <n v="380"/>
    <n v="5320"/>
    <n v="2520"/>
    <n v="2800"/>
  </r>
  <r>
    <n v="8101"/>
    <s v="2025-03-05"/>
    <x v="3"/>
    <x v="0"/>
    <s v="Bookshelf Unit"/>
    <s v="CUST-0039"/>
    <s v="Emma Clarke"/>
    <n v="1"/>
    <n v="190"/>
    <n v="190"/>
    <n v="90"/>
    <n v="100"/>
  </r>
  <r>
    <n v="8102"/>
    <s v="2025-08-16"/>
    <x v="0"/>
    <x v="0"/>
    <s v="Filing Cabinet"/>
    <s v="CUST-0032"/>
    <s v="Ethan Silva"/>
    <n v="12"/>
    <n v="160"/>
    <n v="1920"/>
    <n v="840"/>
    <n v="1080"/>
  </r>
  <r>
    <n v="8103"/>
    <s v="2025-07-07"/>
    <x v="2"/>
    <x v="2"/>
    <s v="Laptop Pro 15"/>
    <s v="CUST-0010"/>
    <s v="Ethan Silva"/>
    <n v="11"/>
    <n v="1200"/>
    <n v="13200"/>
    <n v="9350"/>
    <n v="3850"/>
  </r>
  <r>
    <n v="8104"/>
    <s v="2025-11-28"/>
    <x v="2"/>
    <x v="1"/>
    <s v="Notebook Pack"/>
    <s v="CUST-0030"/>
    <s v="Noah Kim"/>
    <n v="11"/>
    <n v="9"/>
    <n v="99"/>
    <n v="33"/>
    <n v="66"/>
  </r>
  <r>
    <n v="8105"/>
    <s v="2025-11-26"/>
    <x v="2"/>
    <x v="0"/>
    <s v="Standing Desk"/>
    <s v="CUST-0030"/>
    <s v="Noah Kim"/>
    <n v="1"/>
    <n v="380"/>
    <n v="380"/>
    <n v="180"/>
    <n v="200"/>
  </r>
  <r>
    <n v="8106"/>
    <s v="2025-03-21"/>
    <x v="1"/>
    <x v="2"/>
    <s v="Ergo Keyboard"/>
    <s v="CUST-0011"/>
    <s v="Emma Clarke"/>
    <n v="8"/>
    <n v="75"/>
    <n v="600"/>
    <n v="240"/>
    <n v="360"/>
  </r>
  <r>
    <n v="8107"/>
    <s v="2025-06-18"/>
    <x v="3"/>
    <x v="2"/>
    <s v="Ergo Keyboard"/>
    <s v="CUST-0020"/>
    <s v="Noah Kim"/>
    <n v="12"/>
    <n v="75"/>
    <n v="900"/>
    <n v="360"/>
    <n v="540"/>
  </r>
  <r>
    <n v="8108"/>
    <s v="2025-04-14"/>
    <x v="1"/>
    <x v="1"/>
    <s v="Notebook Pack"/>
    <s v="CUST-0010"/>
    <s v="Emma Clarke"/>
    <n v="3"/>
    <n v="9"/>
    <n v="27"/>
    <n v="9"/>
    <n v="18"/>
  </r>
  <r>
    <n v="8109"/>
    <s v="2025-10-10"/>
    <x v="0"/>
    <x v="0"/>
    <s v="Office Chair Deluxe"/>
    <s v="CUST-0008"/>
    <s v="Sofia Rossi"/>
    <n v="4"/>
    <n v="140"/>
    <n v="560"/>
    <n v="260"/>
    <n v="300"/>
  </r>
  <r>
    <n v="8110"/>
    <s v="2025-03-05"/>
    <x v="1"/>
    <x v="0"/>
    <s v="Bookshelf Unit"/>
    <s v="CUST-0014"/>
    <s v="Noah Kim"/>
    <n v="2"/>
    <n v="190"/>
    <n v="380"/>
    <n v="180"/>
    <n v="200"/>
  </r>
  <r>
    <n v="8111"/>
    <s v="2025-05-05"/>
    <x v="1"/>
    <x v="2"/>
    <s v="Wireless Mouse"/>
    <s v="CUST-0015"/>
    <s v="Liam Novak"/>
    <n v="13"/>
    <n v="25"/>
    <n v="325"/>
    <n v="104"/>
    <n v="221"/>
  </r>
  <r>
    <n v="8112"/>
    <s v="2025-10-23"/>
    <x v="0"/>
    <x v="0"/>
    <s v="Standing Desk"/>
    <s v="CUST-0034"/>
    <s v="Emma Clarke"/>
    <n v="7"/>
    <n v="380"/>
    <n v="2660"/>
    <n v="1260"/>
    <n v="1400"/>
  </r>
  <r>
    <n v="8113"/>
    <s v="2025-12-18"/>
    <x v="2"/>
    <x v="2"/>
    <s v="4K Monitor"/>
    <s v="CUST-0023"/>
    <s v="Ava Müller"/>
    <n v="6"/>
    <n v="420"/>
    <n v="2520"/>
    <n v="1320"/>
    <n v="1200"/>
  </r>
  <r>
    <n v="8114"/>
    <s v="2025-01-24"/>
    <x v="1"/>
    <x v="0"/>
    <s v="Filing Cabinet"/>
    <s v="CUST-0026"/>
    <s v="Lucas Tanaka"/>
    <n v="8"/>
    <n v="160"/>
    <n v="1280"/>
    <n v="560"/>
    <n v="720"/>
  </r>
  <r>
    <n v="8115"/>
    <s v="2025-11-24"/>
    <x v="0"/>
    <x v="2"/>
    <s v="Laptop Pro 15"/>
    <s v="CUST-0006"/>
    <s v="Olivia Dubois"/>
    <n v="15"/>
    <n v="1200"/>
    <n v="18000"/>
    <n v="12750"/>
    <n v="5250"/>
  </r>
  <r>
    <n v="8116"/>
    <s v="2025-03-25"/>
    <x v="2"/>
    <x v="2"/>
    <s v="4K Monitor"/>
    <s v="CUST-0019"/>
    <s v="Ethan Silva"/>
    <n v="9"/>
    <n v="420"/>
    <n v="3780"/>
    <n v="1980"/>
    <n v="1800"/>
  </r>
  <r>
    <n v="8117"/>
    <s v="2025-05-16"/>
    <x v="3"/>
    <x v="1"/>
    <s v="Notebook Pack"/>
    <s v="CUST-0025"/>
    <s v="Olivia Dubois"/>
    <n v="11"/>
    <n v="9"/>
    <n v="99"/>
    <n v="33"/>
    <n v="66"/>
  </r>
  <r>
    <n v="8118"/>
    <s v="2025-10-27"/>
    <x v="1"/>
    <x v="2"/>
    <s v="Wireless Mouse"/>
    <s v="CUST-0006"/>
    <s v="Lucas Tanaka"/>
    <n v="5"/>
    <n v="25"/>
    <n v="125"/>
    <n v="40"/>
    <n v="85"/>
  </r>
  <r>
    <n v="8119"/>
    <s v="2025-03-18"/>
    <x v="3"/>
    <x v="0"/>
    <s v="Office Chair Deluxe"/>
    <s v="CUST-0020"/>
    <s v="Olivia Dubois"/>
    <n v="13"/>
    <n v="140"/>
    <n v="1820"/>
    <n v="845"/>
    <n v="975"/>
  </r>
  <r>
    <n v="8120"/>
    <s v="2025-12-05"/>
    <x v="2"/>
    <x v="2"/>
    <s v="Wireless Mouse"/>
    <s v="CUST-0029"/>
    <s v="Noah Kim"/>
    <n v="5"/>
    <n v="25"/>
    <n v="125"/>
    <n v="40"/>
    <n v="85"/>
  </r>
  <r>
    <n v="8121"/>
    <s v="2025-08-06"/>
    <x v="1"/>
    <x v="2"/>
    <s v="Ergo Keyboard"/>
    <s v="CUST-0033"/>
    <s v="Liam Novak"/>
    <n v="12"/>
    <n v="75"/>
    <n v="900"/>
    <n v="360"/>
    <n v="540"/>
  </r>
  <r>
    <n v="8122"/>
    <s v="2025-07-06"/>
    <x v="2"/>
    <x v="0"/>
    <s v="Standing Desk"/>
    <s v="CUST-0013"/>
    <s v="Emma Clarke"/>
    <n v="9"/>
    <n v="380"/>
    <n v="3420"/>
    <n v="1620"/>
    <n v="1800"/>
  </r>
  <r>
    <n v="8123"/>
    <s v="2025-06-19"/>
    <x v="2"/>
    <x v="2"/>
    <s v="4K Monitor"/>
    <s v="CUST-0028"/>
    <s v="Sofia Rossi"/>
    <n v="10"/>
    <n v="420"/>
    <n v="4200"/>
    <n v="2200"/>
    <n v="2000"/>
  </r>
  <r>
    <n v="8124"/>
    <s v="2025-04-13"/>
    <x v="1"/>
    <x v="0"/>
    <s v="Bookshelf Unit"/>
    <s v="CUST-0011"/>
    <s v="Emma Clarke"/>
    <n v="9"/>
    <n v="190"/>
    <n v="1710"/>
    <n v="810"/>
    <n v="900"/>
  </r>
  <r>
    <n v="8125"/>
    <s v="2025-06-22"/>
    <x v="0"/>
    <x v="0"/>
    <s v="Standing Desk"/>
    <s v="CUST-0001"/>
    <s v="Noah Kim"/>
    <n v="3"/>
    <n v="380"/>
    <n v="1140"/>
    <n v="540"/>
    <n v="600"/>
  </r>
  <r>
    <n v="8126"/>
    <s v="2025-07-01"/>
    <x v="2"/>
    <x v="0"/>
    <s v="Standing Desk"/>
    <s v="CUST-0034"/>
    <s v="Ava Müller"/>
    <n v="12"/>
    <n v="380"/>
    <n v="4560"/>
    <n v="2160"/>
    <n v="2400"/>
  </r>
  <r>
    <n v="8127"/>
    <s v="2025-11-01"/>
    <x v="0"/>
    <x v="2"/>
    <s v="4K Monitor"/>
    <s v="CUST-0012"/>
    <s v="Ethan Silva"/>
    <n v="12"/>
    <n v="420"/>
    <n v="5040"/>
    <n v="2640"/>
    <n v="2400"/>
  </r>
  <r>
    <n v="8128"/>
    <s v="2025-07-08"/>
    <x v="2"/>
    <x v="0"/>
    <s v="Office Chair Deluxe"/>
    <s v="CUST-0010"/>
    <s v="Olivia Dubois"/>
    <n v="6"/>
    <n v="140"/>
    <n v="840"/>
    <n v="390"/>
    <n v="450"/>
  </r>
  <r>
    <n v="8129"/>
    <s v="2025-06-05"/>
    <x v="1"/>
    <x v="2"/>
    <s v="Laptop Pro 15"/>
    <s v="CUST-0021"/>
    <s v="Ava Müller"/>
    <n v="4"/>
    <n v="1200"/>
    <n v="4800"/>
    <n v="3400"/>
    <n v="1400"/>
  </r>
  <r>
    <n v="8130"/>
    <s v="2025-11-17"/>
    <x v="0"/>
    <x v="0"/>
    <s v="Bookshelf Unit"/>
    <s v="CUST-0037"/>
    <s v="Olivia Dubois"/>
    <n v="1"/>
    <n v="190"/>
    <n v="190"/>
    <n v="90"/>
    <n v="100"/>
  </r>
  <r>
    <n v="8131"/>
    <s v="2025-11-10"/>
    <x v="3"/>
    <x v="0"/>
    <s v="Standing Desk"/>
    <s v="CUST-0015"/>
    <s v="Liam Novak"/>
    <n v="13"/>
    <n v="380"/>
    <n v="4940"/>
    <n v="2340"/>
    <n v="2600"/>
  </r>
  <r>
    <n v="8132"/>
    <s v="2025-07-13"/>
    <x v="1"/>
    <x v="0"/>
    <s v="Standing Desk"/>
    <s v="CUST-0013"/>
    <s v="Lucas Tanaka"/>
    <n v="14"/>
    <n v="380"/>
    <n v="5320"/>
    <n v="2520"/>
    <n v="2800"/>
  </r>
  <r>
    <n v="8133"/>
    <s v="2025-08-09"/>
    <x v="0"/>
    <x v="0"/>
    <s v="Office Chair Deluxe"/>
    <s v="CUST-0025"/>
    <s v="Olivia Dubois"/>
    <n v="11"/>
    <n v="140"/>
    <n v="1540"/>
    <n v="715"/>
    <n v="825"/>
  </r>
  <r>
    <n v="8134"/>
    <s v="2025-01-25"/>
    <x v="0"/>
    <x v="1"/>
    <s v="Premium Pen Set"/>
    <s v="CUST-0009"/>
    <s v="Emma Clarke"/>
    <n v="7"/>
    <n v="15"/>
    <n v="105"/>
    <n v="35"/>
    <n v="70"/>
  </r>
  <r>
    <n v="8135"/>
    <s v="2025-02-26"/>
    <x v="1"/>
    <x v="0"/>
    <s v="Office Chair Deluxe"/>
    <s v="CUST-0031"/>
    <s v="Emma Clarke"/>
    <n v="8"/>
    <n v="140"/>
    <n v="1120"/>
    <n v="520"/>
    <n v="600"/>
  </r>
  <r>
    <n v="8136"/>
    <s v="2025-04-01"/>
    <x v="1"/>
    <x v="2"/>
    <s v="Ergo Keyboard"/>
    <s v="CUST-0033"/>
    <s v="Olivia Dubois"/>
    <n v="2"/>
    <n v="75"/>
    <n v="150"/>
    <n v="60"/>
    <n v="90"/>
  </r>
  <r>
    <n v="8137"/>
    <s v="2025-07-20"/>
    <x v="2"/>
    <x v="2"/>
    <s v="4K Monitor"/>
    <s v="CUST-0036"/>
    <s v="Liam Novak"/>
    <n v="7"/>
    <n v="420"/>
    <n v="2940"/>
    <n v="1540"/>
    <n v="1400"/>
  </r>
  <r>
    <n v="8138"/>
    <s v="2025-12-26"/>
    <x v="3"/>
    <x v="2"/>
    <s v="Ergo Keyboard"/>
    <s v="CUST-0027"/>
    <s v="Olivia Dubois"/>
    <n v="1"/>
    <n v="75"/>
    <n v="75"/>
    <n v="30"/>
    <n v="45"/>
  </r>
  <r>
    <n v="8139"/>
    <s v="2025-12-26"/>
    <x v="2"/>
    <x v="2"/>
    <s v="Ergo Keyboard"/>
    <s v="CUST-0017"/>
    <s v="Ethan Silva"/>
    <n v="15"/>
    <n v="75"/>
    <n v="1125"/>
    <n v="450"/>
    <n v="675"/>
  </r>
  <r>
    <n v="8140"/>
    <s v="2025-11-30"/>
    <x v="0"/>
    <x v="1"/>
    <s v="Premium Pen Set"/>
    <s v="CUST-0023"/>
    <s v="Noah Kim"/>
    <n v="6"/>
    <n v="15"/>
    <n v="90"/>
    <n v="30"/>
    <n v="60"/>
  </r>
  <r>
    <n v="8141"/>
    <s v="2025-03-24"/>
    <x v="0"/>
    <x v="2"/>
    <s v="Wireless Mouse"/>
    <s v="CUST-0001"/>
    <s v="Ethan Silva"/>
    <n v="5"/>
    <n v="25"/>
    <n v="125"/>
    <n v="40"/>
    <n v="85"/>
  </r>
  <r>
    <n v="8142"/>
    <s v="2025-06-27"/>
    <x v="1"/>
    <x v="0"/>
    <s v="Office Chair Deluxe"/>
    <s v="CUST-0014"/>
    <s v="Emma Clarke"/>
    <n v="13"/>
    <n v="140"/>
    <n v="1820"/>
    <n v="845"/>
    <n v="975"/>
  </r>
  <r>
    <n v="8143"/>
    <s v="2025-06-16"/>
    <x v="1"/>
    <x v="2"/>
    <s v="Laptop Pro 15"/>
    <s v="CUST-0037"/>
    <s v="Noah Kim"/>
    <n v="3"/>
    <n v="1200"/>
    <n v="3600"/>
    <n v="2550"/>
    <n v="1050"/>
  </r>
  <r>
    <n v="8144"/>
    <s v="2025-03-28"/>
    <x v="0"/>
    <x v="2"/>
    <s v="Ergo Keyboard"/>
    <s v="CUST-0039"/>
    <s v="Noah Kim"/>
    <n v="10"/>
    <n v="75"/>
    <n v="750"/>
    <n v="300"/>
    <n v="450"/>
  </r>
  <r>
    <n v="8145"/>
    <s v="2025-06-07"/>
    <x v="1"/>
    <x v="0"/>
    <s v="Office Chair Deluxe"/>
    <s v="CUST-0027"/>
    <s v="Olivia Dubois"/>
    <n v="15"/>
    <n v="140"/>
    <n v="2100"/>
    <n v="975"/>
    <n v="1125"/>
  </r>
  <r>
    <n v="8146"/>
    <s v="2025-07-22"/>
    <x v="3"/>
    <x v="0"/>
    <s v="Standing Desk"/>
    <s v="CUST-0025"/>
    <s v="Olivia Dubois"/>
    <n v="12"/>
    <n v="380"/>
    <n v="4560"/>
    <n v="2160"/>
    <n v="2400"/>
  </r>
  <r>
    <n v="8147"/>
    <s v="2025-06-14"/>
    <x v="1"/>
    <x v="0"/>
    <s v="Standing Desk"/>
    <s v="CUST-0015"/>
    <s v="Olivia Dubois"/>
    <n v="5"/>
    <n v="380"/>
    <n v="1900"/>
    <n v="900"/>
    <n v="1000"/>
  </r>
  <r>
    <n v="8148"/>
    <s v="2025-11-13"/>
    <x v="2"/>
    <x v="0"/>
    <s v="Standing Desk"/>
    <s v="CUST-0030"/>
    <s v="Lucas Tanaka"/>
    <n v="2"/>
    <n v="380"/>
    <n v="760"/>
    <n v="360"/>
    <n v="400"/>
  </r>
  <r>
    <n v="8149"/>
    <s v="2025-11-12"/>
    <x v="0"/>
    <x v="0"/>
    <s v="Office Chair Deluxe"/>
    <s v="CUST-0029"/>
    <s v="Emma Clarke"/>
    <n v="12"/>
    <n v="140"/>
    <n v="1680"/>
    <n v="780"/>
    <n v="900"/>
  </r>
  <r>
    <n v="8150"/>
    <s v="2025-10-12"/>
    <x v="2"/>
    <x v="1"/>
    <s v="Notebook Pack"/>
    <s v="CUST-0032"/>
    <s v="Sofia Rossi"/>
    <n v="2"/>
    <n v="9"/>
    <n v="18"/>
    <n v="6"/>
    <n v="12"/>
  </r>
  <r>
    <n v="8151"/>
    <s v="2025-01-05"/>
    <x v="1"/>
    <x v="0"/>
    <s v="Filing Cabinet"/>
    <s v="CUST-0002"/>
    <s v="Olivia Dubois"/>
    <n v="13"/>
    <n v="160"/>
    <n v="2080"/>
    <n v="910"/>
    <n v="1170"/>
  </r>
  <r>
    <n v="8152"/>
    <s v="2025-02-02"/>
    <x v="0"/>
    <x v="2"/>
    <s v="Laptop Pro 15"/>
    <s v="CUST-0029"/>
    <s v="Liam Novak"/>
    <n v="11"/>
    <n v="1200"/>
    <n v="13200"/>
    <n v="9350"/>
    <n v="3850"/>
  </r>
  <r>
    <n v="8153"/>
    <s v="2025-07-23"/>
    <x v="2"/>
    <x v="2"/>
    <s v="Ergo Keyboard"/>
    <s v="CUST-0029"/>
    <s v="Lucas Tanaka"/>
    <n v="10"/>
    <n v="75"/>
    <n v="750"/>
    <n v="300"/>
    <n v="450"/>
  </r>
  <r>
    <n v="8154"/>
    <s v="2025-06-02"/>
    <x v="3"/>
    <x v="0"/>
    <s v="Office Chair Deluxe"/>
    <s v="CUST-0015"/>
    <s v="Olivia Dubois"/>
    <n v="10"/>
    <n v="140"/>
    <n v="1400"/>
    <n v="650"/>
    <n v="750"/>
  </r>
  <r>
    <n v="8155"/>
    <s v="2025-07-30"/>
    <x v="1"/>
    <x v="0"/>
    <s v="Office Chair Deluxe"/>
    <s v="CUST-0021"/>
    <s v="Olivia Dubois"/>
    <n v="3"/>
    <n v="140"/>
    <n v="420"/>
    <n v="195"/>
    <n v="225"/>
  </r>
  <r>
    <n v="8156"/>
    <s v="2025-03-01"/>
    <x v="3"/>
    <x v="0"/>
    <s v="Bookshelf Unit"/>
    <s v="CUST-0024"/>
    <s v="Emma Clarke"/>
    <n v="9"/>
    <n v="190"/>
    <n v="1710"/>
    <n v="810"/>
    <n v="900"/>
  </r>
  <r>
    <n v="8157"/>
    <s v="2025-05-04"/>
    <x v="1"/>
    <x v="0"/>
    <s v="Standing Desk"/>
    <s v="CUST-0030"/>
    <s v="Ethan Silva"/>
    <n v="15"/>
    <n v="380"/>
    <n v="5700"/>
    <n v="2700"/>
    <n v="3000"/>
  </r>
  <r>
    <n v="8158"/>
    <s v="2025-05-04"/>
    <x v="2"/>
    <x v="2"/>
    <s v="4K Monitor"/>
    <s v="CUST-0036"/>
    <s v="Lucas Tanaka"/>
    <n v="9"/>
    <n v="420"/>
    <n v="3780"/>
    <n v="1980"/>
    <n v="1800"/>
  </r>
  <r>
    <n v="8159"/>
    <s v="2025-10-20"/>
    <x v="3"/>
    <x v="0"/>
    <s v="Standing Desk"/>
    <s v="CUST-0021"/>
    <s v="Ethan Silva"/>
    <n v="11"/>
    <n v="380"/>
    <n v="4180"/>
    <n v="1980"/>
    <n v="2200"/>
  </r>
  <r>
    <n v="8160"/>
    <s v="2025-04-28"/>
    <x v="2"/>
    <x v="1"/>
    <s v="Premium Pen Set"/>
    <s v="CUST-0017"/>
    <s v="Noah Kim"/>
    <n v="7"/>
    <n v="15"/>
    <n v="105"/>
    <n v="35"/>
    <n v="70"/>
  </r>
  <r>
    <n v="8161"/>
    <s v="2025-03-26"/>
    <x v="0"/>
    <x v="1"/>
    <s v="Premium Pen Set"/>
    <s v="CUST-0007"/>
    <s v="Sofia Rossi"/>
    <n v="9"/>
    <n v="15"/>
    <n v="135"/>
    <n v="45"/>
    <n v="90"/>
  </r>
  <r>
    <n v="8162"/>
    <s v="2025-11-02"/>
    <x v="3"/>
    <x v="1"/>
    <s v="Notebook Pack"/>
    <s v="CUST-0035"/>
    <s v="Olivia Dubois"/>
    <n v="7"/>
    <n v="9"/>
    <n v="63"/>
    <n v="21"/>
    <n v="42"/>
  </r>
  <r>
    <n v="8163"/>
    <s v="2025-02-14"/>
    <x v="0"/>
    <x v="1"/>
    <s v="Premium Pen Set"/>
    <s v="CUST-0039"/>
    <s v="Liam Novak"/>
    <n v="5"/>
    <n v="15"/>
    <n v="75"/>
    <n v="25"/>
    <n v="50"/>
  </r>
  <r>
    <n v="8164"/>
    <s v="2025-04-15"/>
    <x v="3"/>
    <x v="0"/>
    <s v="Filing Cabinet"/>
    <s v="CUST-0035"/>
    <s v="Sofia Rossi"/>
    <n v="2"/>
    <n v="160"/>
    <n v="320"/>
    <n v="140"/>
    <n v="180"/>
  </r>
  <r>
    <n v="8165"/>
    <s v="2025-10-11"/>
    <x v="1"/>
    <x v="1"/>
    <s v="Premium Pen Set"/>
    <s v="CUST-0033"/>
    <s v="Noah Kim"/>
    <n v="13"/>
    <n v="15"/>
    <n v="195"/>
    <n v="65"/>
    <n v="130"/>
  </r>
  <r>
    <n v="8166"/>
    <s v="2025-12-12"/>
    <x v="2"/>
    <x v="0"/>
    <s v="Bookshelf Unit"/>
    <s v="CUST-0026"/>
    <s v="Olivia Dubois"/>
    <n v="11"/>
    <n v="190"/>
    <n v="2090"/>
    <n v="990"/>
    <n v="1100"/>
  </r>
  <r>
    <n v="8167"/>
    <s v="2025-01-08"/>
    <x v="0"/>
    <x v="0"/>
    <s v="Bookshelf Unit"/>
    <s v="CUST-0019"/>
    <s v="Ava Müller"/>
    <n v="4"/>
    <n v="190"/>
    <n v="760"/>
    <n v="360"/>
    <n v="400"/>
  </r>
  <r>
    <n v="8168"/>
    <s v="2025-12-10"/>
    <x v="2"/>
    <x v="0"/>
    <s v="Standing Desk"/>
    <s v="CUST-0017"/>
    <s v="Ava Müller"/>
    <n v="15"/>
    <n v="380"/>
    <n v="5700"/>
    <n v="2700"/>
    <n v="3000"/>
  </r>
  <r>
    <n v="8169"/>
    <s v="2025-04-29"/>
    <x v="2"/>
    <x v="2"/>
    <s v="4K Monitor"/>
    <s v="CUST-0004"/>
    <s v="Ethan Silva"/>
    <n v="10"/>
    <n v="420"/>
    <n v="4200"/>
    <n v="2200"/>
    <n v="2000"/>
  </r>
  <r>
    <n v="8170"/>
    <s v="2025-09-29"/>
    <x v="3"/>
    <x v="2"/>
    <s v="Ergo Keyboard"/>
    <s v="CUST-0028"/>
    <s v="Emma Clarke"/>
    <n v="6"/>
    <n v="75"/>
    <n v="450"/>
    <n v="180"/>
    <n v="270"/>
  </r>
  <r>
    <n v="8171"/>
    <s v="2025-04-30"/>
    <x v="3"/>
    <x v="0"/>
    <s v="Office Chair Deluxe"/>
    <s v="CUST-0012"/>
    <s v="Liam Novak"/>
    <n v="15"/>
    <n v="140"/>
    <n v="2100"/>
    <n v="975"/>
    <n v="1125"/>
  </r>
  <r>
    <n v="8172"/>
    <s v="2025-10-25"/>
    <x v="3"/>
    <x v="0"/>
    <s v="Standing Desk"/>
    <s v="CUST-0012"/>
    <s v="Ethan Silva"/>
    <n v="3"/>
    <n v="380"/>
    <n v="1140"/>
    <n v="540"/>
    <n v="600"/>
  </r>
  <r>
    <n v="8173"/>
    <s v="2025-12-11"/>
    <x v="1"/>
    <x v="2"/>
    <s v="Laptop Pro 15"/>
    <s v="CUST-0031"/>
    <s v="Sofia Rossi"/>
    <n v="1"/>
    <n v="1200"/>
    <n v="1200"/>
    <n v="850"/>
    <n v="350"/>
  </r>
  <r>
    <n v="8174"/>
    <s v="2025-06-04"/>
    <x v="0"/>
    <x v="0"/>
    <s v="Bookshelf Unit"/>
    <s v="CUST-0030"/>
    <s v="Emma Clarke"/>
    <n v="7"/>
    <n v="190"/>
    <n v="1330"/>
    <n v="630"/>
    <n v="700"/>
  </r>
  <r>
    <n v="8175"/>
    <s v="2025-10-28"/>
    <x v="0"/>
    <x v="0"/>
    <s v="Office Chair Deluxe"/>
    <s v="CUST-0025"/>
    <s v="Lucas Tanaka"/>
    <n v="3"/>
    <n v="140"/>
    <n v="420"/>
    <n v="195"/>
    <n v="225"/>
  </r>
  <r>
    <n v="8176"/>
    <s v="2025-07-16"/>
    <x v="0"/>
    <x v="0"/>
    <s v="Bookshelf Unit"/>
    <s v="CUST-0022"/>
    <s v="Liam Novak"/>
    <n v="13"/>
    <n v="190"/>
    <n v="2470"/>
    <n v="1170"/>
    <n v="1300"/>
  </r>
  <r>
    <n v="8177"/>
    <s v="2025-04-02"/>
    <x v="0"/>
    <x v="1"/>
    <s v="Premium Pen Set"/>
    <s v="CUST-0007"/>
    <s v="Liam Novak"/>
    <n v="14"/>
    <n v="15"/>
    <n v="210"/>
    <n v="70"/>
    <n v="140"/>
  </r>
  <r>
    <n v="8178"/>
    <s v="2025-07-15"/>
    <x v="3"/>
    <x v="2"/>
    <s v="Laptop Pro 15"/>
    <s v="CUST-0022"/>
    <s v="Ava Müller"/>
    <n v="2"/>
    <n v="1200"/>
    <n v="2400"/>
    <n v="1700"/>
    <n v="700"/>
  </r>
  <r>
    <n v="8179"/>
    <s v="2025-07-25"/>
    <x v="2"/>
    <x v="2"/>
    <s v="4K Monitor"/>
    <s v="CUST-0004"/>
    <s v="Olivia Dubois"/>
    <n v="2"/>
    <n v="420"/>
    <n v="840"/>
    <n v="440"/>
    <n v="400"/>
  </r>
  <r>
    <n v="8180"/>
    <s v="2025-09-13"/>
    <x v="0"/>
    <x v="2"/>
    <s v="Ergo Keyboard"/>
    <s v="CUST-0006"/>
    <s v="Ethan Silva"/>
    <n v="9"/>
    <n v="75"/>
    <n v="675"/>
    <n v="270"/>
    <n v="405"/>
  </r>
  <r>
    <n v="8181"/>
    <s v="2025-07-30"/>
    <x v="1"/>
    <x v="1"/>
    <s v="Notebook Pack"/>
    <s v="CUST-0029"/>
    <s v="Lucas Tanaka"/>
    <n v="7"/>
    <n v="9"/>
    <n v="63"/>
    <n v="21"/>
    <n v="42"/>
  </r>
  <r>
    <n v="8182"/>
    <s v="2025-01-30"/>
    <x v="3"/>
    <x v="0"/>
    <s v="Filing Cabinet"/>
    <s v="CUST-0027"/>
    <s v="Noah Kim"/>
    <n v="13"/>
    <n v="160"/>
    <n v="2080"/>
    <n v="910"/>
    <n v="1170"/>
  </r>
  <r>
    <n v="8183"/>
    <s v="2025-05-04"/>
    <x v="1"/>
    <x v="0"/>
    <s v="Filing Cabinet"/>
    <s v="CUST-0031"/>
    <s v="Olivia Dubois"/>
    <n v="5"/>
    <n v="160"/>
    <n v="800"/>
    <n v="350"/>
    <n v="450"/>
  </r>
  <r>
    <n v="8184"/>
    <s v="2025-10-14"/>
    <x v="3"/>
    <x v="0"/>
    <s v="Filing Cabinet"/>
    <s v="CUST-0028"/>
    <s v="Noah Kim"/>
    <n v="13"/>
    <n v="160"/>
    <n v="2080"/>
    <n v="910"/>
    <n v="1170"/>
  </r>
  <r>
    <n v="8185"/>
    <s v="2025-06-25"/>
    <x v="2"/>
    <x v="0"/>
    <s v="Bookshelf Unit"/>
    <s v="CUST-0013"/>
    <s v="Ethan Silva"/>
    <n v="15"/>
    <n v="190"/>
    <n v="2850"/>
    <n v="1350"/>
    <n v="1500"/>
  </r>
  <r>
    <n v="8186"/>
    <s v="2025-05-25"/>
    <x v="3"/>
    <x v="2"/>
    <s v="4K Monitor"/>
    <s v="CUST-0029"/>
    <s v="Emma Clarke"/>
    <n v="13"/>
    <n v="420"/>
    <n v="5460"/>
    <n v="2860"/>
    <n v="2600"/>
  </r>
  <r>
    <n v="8187"/>
    <s v="2025-12-07"/>
    <x v="1"/>
    <x v="2"/>
    <s v="4K Monitor"/>
    <s v="CUST-0008"/>
    <s v="Lucas Tanaka"/>
    <n v="2"/>
    <n v="420"/>
    <n v="840"/>
    <n v="440"/>
    <n v="400"/>
  </r>
  <r>
    <n v="8188"/>
    <s v="2025-08-05"/>
    <x v="2"/>
    <x v="2"/>
    <s v="Ergo Keyboard"/>
    <s v="CUST-0022"/>
    <s v="Ava Müller"/>
    <n v="13"/>
    <n v="75"/>
    <n v="975"/>
    <n v="390"/>
    <n v="585"/>
  </r>
  <r>
    <n v="8189"/>
    <s v="2025-02-08"/>
    <x v="0"/>
    <x v="1"/>
    <s v="Premium Pen Set"/>
    <s v="CUST-0009"/>
    <s v="Sofia Rossi"/>
    <n v="5"/>
    <n v="15"/>
    <n v="75"/>
    <n v="25"/>
    <n v="50"/>
  </r>
  <r>
    <n v="8190"/>
    <s v="2025-11-18"/>
    <x v="1"/>
    <x v="0"/>
    <s v="Standing Desk"/>
    <s v="CUST-0026"/>
    <s v="Ava Müller"/>
    <n v="6"/>
    <n v="380"/>
    <n v="2280"/>
    <n v="1080"/>
    <n v="1200"/>
  </r>
  <r>
    <n v="8191"/>
    <s v="2025-09-22"/>
    <x v="2"/>
    <x v="2"/>
    <s v="Wireless Mouse"/>
    <s v="CUST-0010"/>
    <s v="Liam Novak"/>
    <n v="15"/>
    <n v="25"/>
    <n v="375"/>
    <n v="120"/>
    <n v="255"/>
  </r>
  <r>
    <n v="8192"/>
    <s v="2025-08-02"/>
    <x v="2"/>
    <x v="1"/>
    <s v="Notebook Pack"/>
    <s v="CUST-0015"/>
    <s v="Noah Kim"/>
    <n v="4"/>
    <n v="9"/>
    <n v="36"/>
    <n v="12"/>
    <n v="24"/>
  </r>
  <r>
    <n v="8193"/>
    <s v="2025-03-28"/>
    <x v="3"/>
    <x v="0"/>
    <s v="Standing Desk"/>
    <s v="CUST-0013"/>
    <s v="Emma Clarke"/>
    <n v="1"/>
    <n v="380"/>
    <n v="380"/>
    <n v="180"/>
    <n v="200"/>
  </r>
  <r>
    <n v="8194"/>
    <s v="2025-11-03"/>
    <x v="3"/>
    <x v="0"/>
    <s v="Filing Cabinet"/>
    <s v="CUST-0013"/>
    <s v="Liam Novak"/>
    <n v="7"/>
    <n v="160"/>
    <n v="1120"/>
    <n v="490"/>
    <n v="630"/>
  </r>
  <r>
    <n v="8195"/>
    <s v="2025-02-17"/>
    <x v="2"/>
    <x v="2"/>
    <s v="4K Monitor"/>
    <s v="CUST-0038"/>
    <s v="Olivia Dubois"/>
    <n v="14"/>
    <n v="420"/>
    <n v="5880"/>
    <n v="3080"/>
    <n v="2800"/>
  </r>
  <r>
    <n v="8196"/>
    <s v="2025-09-06"/>
    <x v="1"/>
    <x v="0"/>
    <s v="Standing Desk"/>
    <s v="CUST-0025"/>
    <s v="Ava Müller"/>
    <n v="15"/>
    <n v="380"/>
    <n v="5700"/>
    <n v="2700"/>
    <n v="3000"/>
  </r>
  <r>
    <n v="8197"/>
    <s v="2025-09-02"/>
    <x v="3"/>
    <x v="2"/>
    <s v="Laptop Pro 15"/>
    <s v="CUST-0018"/>
    <s v="Emma Clarke"/>
    <n v="6"/>
    <n v="1200"/>
    <n v="7200"/>
    <n v="5100"/>
    <n v="2100"/>
  </r>
  <r>
    <n v="8198"/>
    <s v="2025-03-07"/>
    <x v="1"/>
    <x v="1"/>
    <s v="Premium Pen Set"/>
    <s v="CUST-0003"/>
    <s v="Lucas Tanaka"/>
    <n v="15"/>
    <n v="15"/>
    <n v="225"/>
    <n v="75"/>
    <n v="150"/>
  </r>
  <r>
    <n v="8199"/>
    <s v="2025-08-26"/>
    <x v="2"/>
    <x v="2"/>
    <s v="Ergo Keyboard"/>
    <s v="CUST-0006"/>
    <s v="Olivia Dubois"/>
    <n v="12"/>
    <n v="75"/>
    <n v="900"/>
    <n v="360"/>
    <n v="540"/>
  </r>
  <r>
    <n v="8200"/>
    <s v="2025-06-12"/>
    <x v="1"/>
    <x v="2"/>
    <s v="4K Monitor"/>
    <s v="CUST-0020"/>
    <s v="Sofia Rossi"/>
    <n v="12"/>
    <n v="420"/>
    <n v="5040"/>
    <n v="2640"/>
    <n v="2400"/>
  </r>
  <r>
    <n v="8201"/>
    <s v="2025-03-28"/>
    <x v="1"/>
    <x v="0"/>
    <s v="Office Chair Deluxe"/>
    <s v="CUST-0037"/>
    <s v="Emma Clarke"/>
    <n v="10"/>
    <n v="140"/>
    <n v="1400"/>
    <n v="650"/>
    <n v="750"/>
  </r>
  <r>
    <n v="8202"/>
    <s v="2025-03-24"/>
    <x v="3"/>
    <x v="1"/>
    <s v="Premium Pen Set"/>
    <s v="CUST-0025"/>
    <s v="Noah Kim"/>
    <n v="14"/>
    <n v="15"/>
    <n v="210"/>
    <n v="70"/>
    <n v="140"/>
  </r>
  <r>
    <n v="8203"/>
    <s v="2025-08-10"/>
    <x v="1"/>
    <x v="2"/>
    <s v="Wireless Mouse"/>
    <s v="CUST-0006"/>
    <s v="Ethan Silva"/>
    <n v="5"/>
    <n v="25"/>
    <n v="125"/>
    <n v="40"/>
    <n v="85"/>
  </r>
  <r>
    <n v="8204"/>
    <s v="2025-05-09"/>
    <x v="2"/>
    <x v="1"/>
    <s v="Notebook Pack"/>
    <s v="CUST-0005"/>
    <s v="Lucas Tanaka"/>
    <n v="8"/>
    <n v="9"/>
    <n v="72"/>
    <n v="24"/>
    <n v="48"/>
  </r>
  <r>
    <n v="8205"/>
    <s v="2025-12-07"/>
    <x v="3"/>
    <x v="0"/>
    <s v="Standing Desk"/>
    <s v="CUST-0022"/>
    <s v="Noah Kim"/>
    <n v="9"/>
    <n v="380"/>
    <n v="3420"/>
    <n v="1620"/>
    <n v="1800"/>
  </r>
  <r>
    <n v="8206"/>
    <s v="2025-09-02"/>
    <x v="1"/>
    <x v="0"/>
    <s v="Office Chair Deluxe"/>
    <s v="CUST-0026"/>
    <s v="Sofia Rossi"/>
    <n v="13"/>
    <n v="140"/>
    <n v="1820"/>
    <n v="845"/>
    <n v="975"/>
  </r>
  <r>
    <n v="8207"/>
    <s v="2025-09-03"/>
    <x v="1"/>
    <x v="1"/>
    <s v="Premium Pen Set"/>
    <s v="CUST-0017"/>
    <s v="Liam Novak"/>
    <n v="1"/>
    <n v="15"/>
    <n v="15"/>
    <n v="5"/>
    <n v="10"/>
  </r>
  <r>
    <n v="8208"/>
    <s v="2025-01-21"/>
    <x v="0"/>
    <x v="0"/>
    <s v="Office Chair Deluxe"/>
    <s v="CUST-0009"/>
    <s v="Noah Kim"/>
    <n v="5"/>
    <n v="140"/>
    <n v="700"/>
    <n v="325"/>
    <n v="375"/>
  </r>
  <r>
    <n v="8209"/>
    <s v="2025-07-07"/>
    <x v="2"/>
    <x v="0"/>
    <s v="Standing Desk"/>
    <s v="CUST-0031"/>
    <s v="Ethan Silva"/>
    <n v="4"/>
    <n v="380"/>
    <n v="1520"/>
    <n v="720"/>
    <n v="800"/>
  </r>
  <r>
    <n v="8210"/>
    <s v="2025-11-28"/>
    <x v="1"/>
    <x v="0"/>
    <s v="Office Chair Deluxe"/>
    <s v="CUST-0023"/>
    <s v="Olivia Dubois"/>
    <n v="3"/>
    <n v="140"/>
    <n v="420"/>
    <n v="195"/>
    <n v="225"/>
  </r>
  <r>
    <n v="8211"/>
    <s v="2025-07-04"/>
    <x v="2"/>
    <x v="2"/>
    <s v="4K Monitor"/>
    <s v="CUST-0025"/>
    <s v="Ethan Silva"/>
    <n v="5"/>
    <n v="420"/>
    <n v="2100"/>
    <n v="1100"/>
    <n v="1000"/>
  </r>
  <r>
    <n v="8212"/>
    <s v="2025-06-24"/>
    <x v="0"/>
    <x v="0"/>
    <s v="Filing Cabinet"/>
    <s v="CUST-0036"/>
    <s v="Emma Clarke"/>
    <n v="3"/>
    <n v="160"/>
    <n v="480"/>
    <n v="210"/>
    <n v="270"/>
  </r>
  <r>
    <n v="8213"/>
    <s v="2025-05-13"/>
    <x v="3"/>
    <x v="0"/>
    <s v="Standing Desk"/>
    <s v="CUST-0035"/>
    <s v="Ava Müller"/>
    <n v="9"/>
    <n v="380"/>
    <n v="3420"/>
    <n v="1620"/>
    <n v="1800"/>
  </r>
  <r>
    <n v="8214"/>
    <s v="2025-06-23"/>
    <x v="0"/>
    <x v="0"/>
    <s v="Filing Cabinet"/>
    <s v="CUST-0010"/>
    <s v="Emma Clarke"/>
    <n v="6"/>
    <n v="160"/>
    <n v="960"/>
    <n v="420"/>
    <n v="540"/>
  </r>
  <r>
    <n v="8215"/>
    <s v="2025-08-24"/>
    <x v="1"/>
    <x v="0"/>
    <s v="Filing Cabinet"/>
    <s v="CUST-0011"/>
    <s v="Lucas Tanaka"/>
    <n v="1"/>
    <n v="160"/>
    <n v="160"/>
    <n v="70"/>
    <n v="90"/>
  </r>
  <r>
    <n v="8216"/>
    <s v="2025-09-26"/>
    <x v="2"/>
    <x v="1"/>
    <s v="Notebook Pack"/>
    <s v="CUST-0010"/>
    <s v="Ava Müller"/>
    <n v="14"/>
    <n v="9"/>
    <n v="126"/>
    <n v="42"/>
    <n v="84"/>
  </r>
  <r>
    <n v="8217"/>
    <s v="2025-09-29"/>
    <x v="2"/>
    <x v="0"/>
    <s v="Standing Desk"/>
    <s v="CUST-0034"/>
    <s v="Emma Clarke"/>
    <n v="3"/>
    <n v="380"/>
    <n v="1140"/>
    <n v="540"/>
    <n v="600"/>
  </r>
  <r>
    <n v="8218"/>
    <s v="2025-10-13"/>
    <x v="3"/>
    <x v="1"/>
    <s v="Notebook Pack"/>
    <s v="CUST-0033"/>
    <s v="Ava Müller"/>
    <n v="2"/>
    <n v="9"/>
    <n v="18"/>
    <n v="6"/>
    <n v="12"/>
  </r>
  <r>
    <n v="8219"/>
    <s v="2025-03-05"/>
    <x v="3"/>
    <x v="2"/>
    <s v="4K Monitor"/>
    <s v="CUST-0019"/>
    <s v="Emma Clarke"/>
    <n v="7"/>
    <n v="420"/>
    <n v="2940"/>
    <n v="1540"/>
    <n v="1400"/>
  </r>
  <r>
    <n v="8220"/>
    <s v="2025-08-29"/>
    <x v="3"/>
    <x v="0"/>
    <s v="Standing Desk"/>
    <s v="CUST-0012"/>
    <s v="Liam Novak"/>
    <n v="5"/>
    <n v="380"/>
    <n v="1900"/>
    <n v="900"/>
    <n v="1000"/>
  </r>
  <r>
    <n v="8221"/>
    <s v="2025-11-21"/>
    <x v="3"/>
    <x v="2"/>
    <s v="Ergo Keyboard"/>
    <s v="CUST-0023"/>
    <s v="Lucas Tanaka"/>
    <n v="8"/>
    <n v="75"/>
    <n v="600"/>
    <n v="240"/>
    <n v="360"/>
  </r>
  <r>
    <n v="8222"/>
    <s v="2025-12-22"/>
    <x v="0"/>
    <x v="0"/>
    <s v="Bookshelf Unit"/>
    <s v="CUST-0031"/>
    <s v="Noah Kim"/>
    <n v="6"/>
    <n v="190"/>
    <n v="1140"/>
    <n v="540"/>
    <n v="600"/>
  </r>
  <r>
    <n v="8223"/>
    <s v="2025-05-05"/>
    <x v="0"/>
    <x v="0"/>
    <s v="Filing Cabinet"/>
    <s v="CUST-0040"/>
    <s v="Lucas Tanaka"/>
    <n v="14"/>
    <n v="160"/>
    <n v="2240"/>
    <n v="980"/>
    <n v="1260"/>
  </r>
  <r>
    <n v="8224"/>
    <s v="2025-02-09"/>
    <x v="1"/>
    <x v="0"/>
    <s v="Bookshelf Unit"/>
    <s v="CUST-0023"/>
    <s v="Sofia Rossi"/>
    <n v="3"/>
    <n v="190"/>
    <n v="570"/>
    <n v="270"/>
    <n v="300"/>
  </r>
  <r>
    <n v="8225"/>
    <s v="2025-05-30"/>
    <x v="2"/>
    <x v="0"/>
    <s v="Filing Cabinet"/>
    <s v="CUST-0036"/>
    <s v="Lucas Tanaka"/>
    <n v="14"/>
    <n v="160"/>
    <n v="2240"/>
    <n v="980"/>
    <n v="1260"/>
  </r>
  <r>
    <n v="8226"/>
    <s v="2025-04-12"/>
    <x v="2"/>
    <x v="2"/>
    <s v="Ergo Keyboard"/>
    <s v="CUST-0025"/>
    <s v="Olivia Dubois"/>
    <n v="2"/>
    <n v="75"/>
    <n v="150"/>
    <n v="60"/>
    <n v="90"/>
  </r>
  <r>
    <n v="8227"/>
    <s v="2025-06-15"/>
    <x v="0"/>
    <x v="1"/>
    <s v="Premium Pen Set"/>
    <s v="CUST-0024"/>
    <s v="Olivia Dubois"/>
    <n v="1"/>
    <n v="15"/>
    <n v="15"/>
    <n v="5"/>
    <n v="10"/>
  </r>
  <r>
    <n v="8228"/>
    <s v="2025-01-11"/>
    <x v="3"/>
    <x v="0"/>
    <s v="Filing Cabinet"/>
    <s v="CUST-0012"/>
    <s v="Emma Clarke"/>
    <n v="11"/>
    <n v="160"/>
    <n v="1760"/>
    <n v="770"/>
    <n v="990"/>
  </r>
  <r>
    <n v="8229"/>
    <s v="2025-02-28"/>
    <x v="2"/>
    <x v="2"/>
    <s v="4K Monitor"/>
    <s v="CUST-0011"/>
    <s v="Liam Novak"/>
    <n v="8"/>
    <n v="420"/>
    <n v="3360"/>
    <n v="1760"/>
    <n v="1600"/>
  </r>
  <r>
    <n v="8230"/>
    <s v="2025-12-22"/>
    <x v="1"/>
    <x v="0"/>
    <s v="Standing Desk"/>
    <s v="CUST-0028"/>
    <s v="Liam Novak"/>
    <n v="4"/>
    <n v="380"/>
    <n v="1520"/>
    <n v="720"/>
    <n v="800"/>
  </r>
  <r>
    <n v="8231"/>
    <s v="2025-04-15"/>
    <x v="2"/>
    <x v="0"/>
    <s v="Office Chair Deluxe"/>
    <s v="CUST-0005"/>
    <s v="Lucas Tanaka"/>
    <n v="10"/>
    <n v="140"/>
    <n v="1400"/>
    <n v="650"/>
    <n v="750"/>
  </r>
  <r>
    <n v="8232"/>
    <s v="2025-12-14"/>
    <x v="1"/>
    <x v="0"/>
    <s v="Filing Cabinet"/>
    <s v="CUST-0032"/>
    <s v="Ava Müller"/>
    <n v="2"/>
    <n v="160"/>
    <n v="320"/>
    <n v="140"/>
    <n v="180"/>
  </r>
  <r>
    <n v="8233"/>
    <s v="2025-12-18"/>
    <x v="1"/>
    <x v="0"/>
    <s v="Office Chair Deluxe"/>
    <s v="CUST-0028"/>
    <s v="Noah Kim"/>
    <n v="8"/>
    <n v="140"/>
    <n v="1120"/>
    <n v="520"/>
    <n v="600"/>
  </r>
  <r>
    <n v="8234"/>
    <s v="2025-10-17"/>
    <x v="0"/>
    <x v="2"/>
    <s v="Laptop Pro 15"/>
    <s v="CUST-0023"/>
    <s v="Sofia Rossi"/>
    <n v="1"/>
    <n v="1200"/>
    <n v="1200"/>
    <n v="850"/>
    <n v="350"/>
  </r>
  <r>
    <n v="8235"/>
    <s v="2025-11-16"/>
    <x v="0"/>
    <x v="2"/>
    <s v="4K Monitor"/>
    <s v="CUST-0033"/>
    <s v="Liam Novak"/>
    <n v="13"/>
    <n v="420"/>
    <n v="5460"/>
    <n v="2860"/>
    <n v="2600"/>
  </r>
  <r>
    <n v="8236"/>
    <s v="2025-07-02"/>
    <x v="3"/>
    <x v="0"/>
    <s v="Office Chair Deluxe"/>
    <s v="CUST-0026"/>
    <s v="Liam Novak"/>
    <n v="7"/>
    <n v="140"/>
    <n v="980"/>
    <n v="455"/>
    <n v="525"/>
  </r>
  <r>
    <n v="8237"/>
    <s v="2025-08-20"/>
    <x v="3"/>
    <x v="1"/>
    <s v="Premium Pen Set"/>
    <s v="CUST-0027"/>
    <s v="Olivia Dubois"/>
    <n v="9"/>
    <n v="15"/>
    <n v="135"/>
    <n v="45"/>
    <n v="90"/>
  </r>
  <r>
    <n v="8238"/>
    <s v="2025-01-27"/>
    <x v="1"/>
    <x v="0"/>
    <s v="Bookshelf Unit"/>
    <s v="CUST-0009"/>
    <s v="Olivia Dubois"/>
    <n v="4"/>
    <n v="190"/>
    <n v="760"/>
    <n v="360"/>
    <n v="400"/>
  </r>
  <r>
    <n v="8239"/>
    <s v="2025-02-09"/>
    <x v="2"/>
    <x v="1"/>
    <s v="Notebook Pack"/>
    <s v="CUST-0019"/>
    <s v="Ethan Silva"/>
    <n v="14"/>
    <n v="9"/>
    <n v="126"/>
    <n v="42"/>
    <n v="84"/>
  </r>
  <r>
    <n v="8240"/>
    <s v="2025-02-16"/>
    <x v="2"/>
    <x v="1"/>
    <s v="Premium Pen Set"/>
    <s v="CUST-0039"/>
    <s v="Emma Clarke"/>
    <n v="15"/>
    <n v="15"/>
    <n v="225"/>
    <n v="75"/>
    <n v="150"/>
  </r>
  <r>
    <n v="8241"/>
    <s v="2025-05-15"/>
    <x v="3"/>
    <x v="0"/>
    <s v="Standing Desk"/>
    <s v="CUST-0028"/>
    <s v="Liam Novak"/>
    <n v="8"/>
    <n v="380"/>
    <n v="3040"/>
    <n v="1440"/>
    <n v="1600"/>
  </r>
  <r>
    <n v="8242"/>
    <s v="2025-03-20"/>
    <x v="3"/>
    <x v="2"/>
    <s v="Laptop Pro 15"/>
    <s v="CUST-0022"/>
    <s v="Ava Müller"/>
    <n v="14"/>
    <n v="1200"/>
    <n v="16800"/>
    <n v="11900"/>
    <n v="4900"/>
  </r>
  <r>
    <n v="8243"/>
    <s v="2025-06-09"/>
    <x v="1"/>
    <x v="0"/>
    <s v="Office Chair Deluxe"/>
    <s v="CUST-0023"/>
    <s v="Liam Novak"/>
    <n v="13"/>
    <n v="140"/>
    <n v="1820"/>
    <n v="845"/>
    <n v="975"/>
  </r>
  <r>
    <n v="8244"/>
    <s v="2025-03-15"/>
    <x v="2"/>
    <x v="0"/>
    <s v="Bookshelf Unit"/>
    <s v="CUST-0023"/>
    <s v="Emma Clarke"/>
    <n v="2"/>
    <n v="190"/>
    <n v="380"/>
    <n v="180"/>
    <n v="200"/>
  </r>
  <r>
    <n v="8245"/>
    <s v="2025-04-05"/>
    <x v="0"/>
    <x v="0"/>
    <s v="Office Chair Deluxe"/>
    <s v="CUST-0009"/>
    <s v="Lucas Tanaka"/>
    <n v="12"/>
    <n v="140"/>
    <n v="1680"/>
    <n v="780"/>
    <n v="900"/>
  </r>
  <r>
    <n v="8246"/>
    <s v="2025-05-13"/>
    <x v="2"/>
    <x v="1"/>
    <s v="Premium Pen Set"/>
    <s v="CUST-0029"/>
    <s v="Sofia Rossi"/>
    <n v="2"/>
    <n v="15"/>
    <n v="30"/>
    <n v="10"/>
    <n v="20"/>
  </r>
  <r>
    <n v="8247"/>
    <s v="2025-07-04"/>
    <x v="0"/>
    <x v="2"/>
    <s v="Laptop Pro 15"/>
    <s v="CUST-0005"/>
    <s v="Ava Müller"/>
    <n v="13"/>
    <n v="1200"/>
    <n v="15600"/>
    <n v="11050"/>
    <n v="4550"/>
  </r>
  <r>
    <n v="8248"/>
    <s v="2025-07-11"/>
    <x v="1"/>
    <x v="2"/>
    <s v="4K Monitor"/>
    <s v="CUST-0018"/>
    <s v="Liam Novak"/>
    <n v="13"/>
    <n v="420"/>
    <n v="5460"/>
    <n v="2860"/>
    <n v="2600"/>
  </r>
  <r>
    <n v="8249"/>
    <s v="2025-11-02"/>
    <x v="0"/>
    <x v="2"/>
    <s v="Ergo Keyboard"/>
    <s v="CUST-0033"/>
    <s v="Lucas Tanaka"/>
    <n v="4"/>
    <n v="75"/>
    <n v="300"/>
    <n v="120"/>
    <n v="180"/>
  </r>
  <r>
    <n v="8250"/>
    <s v="2025-05-26"/>
    <x v="3"/>
    <x v="0"/>
    <s v="Office Chair Deluxe"/>
    <s v="CUST-0005"/>
    <s v="Olivia Dubois"/>
    <n v="8"/>
    <n v="140"/>
    <n v="1120"/>
    <n v="520"/>
    <n v="600"/>
  </r>
  <r>
    <n v="8251"/>
    <s v="2025-03-19"/>
    <x v="0"/>
    <x v="0"/>
    <s v="Bookshelf Unit"/>
    <s v="CUST-0028"/>
    <s v="Ava Müller"/>
    <n v="15"/>
    <n v="190"/>
    <n v="2850"/>
    <n v="1350"/>
    <n v="1500"/>
  </r>
  <r>
    <n v="8252"/>
    <s v="2025-10-09"/>
    <x v="1"/>
    <x v="2"/>
    <s v="4K Monitor"/>
    <s v="CUST-0018"/>
    <s v="Noah Kim"/>
    <n v="13"/>
    <n v="420"/>
    <n v="5460"/>
    <n v="2860"/>
    <n v="2600"/>
  </r>
  <r>
    <n v="8253"/>
    <s v="2025-10-04"/>
    <x v="2"/>
    <x v="0"/>
    <s v="Filing Cabinet"/>
    <s v="CUST-0029"/>
    <s v="Sofia Rossi"/>
    <n v="7"/>
    <n v="160"/>
    <n v="1120"/>
    <n v="490"/>
    <n v="630"/>
  </r>
  <r>
    <n v="8254"/>
    <s v="2025-08-16"/>
    <x v="0"/>
    <x v="2"/>
    <s v="Wireless Mouse"/>
    <s v="CUST-0029"/>
    <s v="Ethan Silva"/>
    <n v="13"/>
    <n v="25"/>
    <n v="325"/>
    <n v="104"/>
    <n v="221"/>
  </r>
  <r>
    <n v="8255"/>
    <s v="2025-10-17"/>
    <x v="2"/>
    <x v="2"/>
    <s v="Wireless Mouse"/>
    <s v="CUST-0020"/>
    <s v="Liam Novak"/>
    <n v="15"/>
    <n v="25"/>
    <n v="375"/>
    <n v="120"/>
    <n v="255"/>
  </r>
  <r>
    <n v="8256"/>
    <s v="2025-12-11"/>
    <x v="3"/>
    <x v="0"/>
    <s v="Standing Desk"/>
    <s v="CUST-0007"/>
    <s v="Liam Novak"/>
    <n v="4"/>
    <n v="380"/>
    <n v="1520"/>
    <n v="720"/>
    <n v="800"/>
  </r>
  <r>
    <n v="8257"/>
    <s v="2025-11-13"/>
    <x v="0"/>
    <x v="2"/>
    <s v="Laptop Pro 15"/>
    <s v="CUST-0022"/>
    <s v="Emma Clarke"/>
    <n v="11"/>
    <n v="1200"/>
    <n v="13200"/>
    <n v="9350"/>
    <n v="3850"/>
  </r>
  <r>
    <n v="8258"/>
    <s v="2025-06-19"/>
    <x v="2"/>
    <x v="2"/>
    <s v="Wireless Mouse"/>
    <s v="CUST-0034"/>
    <s v="Liam Novak"/>
    <n v="9"/>
    <n v="25"/>
    <n v="225"/>
    <n v="72"/>
    <n v="153"/>
  </r>
  <r>
    <n v="8259"/>
    <s v="2025-11-07"/>
    <x v="0"/>
    <x v="2"/>
    <s v="4K Monitor"/>
    <s v="CUST-0029"/>
    <s v="Emma Clarke"/>
    <n v="13"/>
    <n v="420"/>
    <n v="5460"/>
    <n v="2860"/>
    <n v="2600"/>
  </r>
  <r>
    <n v="8260"/>
    <s v="2025-08-22"/>
    <x v="3"/>
    <x v="0"/>
    <s v="Filing Cabinet"/>
    <s v="CUST-0009"/>
    <s v="Ava Müller"/>
    <n v="11"/>
    <n v="160"/>
    <n v="1760"/>
    <n v="770"/>
    <n v="990"/>
  </r>
  <r>
    <n v="8261"/>
    <s v="2025-09-25"/>
    <x v="1"/>
    <x v="0"/>
    <s v="Standing Desk"/>
    <s v="CUST-0030"/>
    <s v="Noah Kim"/>
    <n v="9"/>
    <n v="380"/>
    <n v="3420"/>
    <n v="1620"/>
    <n v="1800"/>
  </r>
  <r>
    <n v="8262"/>
    <s v="2025-04-15"/>
    <x v="2"/>
    <x v="0"/>
    <s v="Office Chair Deluxe"/>
    <s v="CUST-0009"/>
    <s v="Noah Kim"/>
    <n v="5"/>
    <n v="140"/>
    <n v="700"/>
    <n v="325"/>
    <n v="375"/>
  </r>
  <r>
    <n v="8263"/>
    <s v="2025-07-10"/>
    <x v="0"/>
    <x v="0"/>
    <s v="Office Chair Deluxe"/>
    <s v="CUST-0012"/>
    <s v="Ava Müller"/>
    <n v="5"/>
    <n v="140"/>
    <n v="700"/>
    <n v="325"/>
    <n v="375"/>
  </r>
  <r>
    <n v="8264"/>
    <s v="2025-10-13"/>
    <x v="2"/>
    <x v="2"/>
    <s v="Laptop Pro 15"/>
    <s v="CUST-0008"/>
    <s v="Noah Kim"/>
    <n v="13"/>
    <n v="1200"/>
    <n v="15600"/>
    <n v="11050"/>
    <n v="4550"/>
  </r>
  <r>
    <n v="8265"/>
    <s v="2025-02-12"/>
    <x v="2"/>
    <x v="0"/>
    <s v="Filing Cabinet"/>
    <s v="CUST-0029"/>
    <s v="Liam Novak"/>
    <n v="14"/>
    <n v="160"/>
    <n v="2240"/>
    <n v="980"/>
    <n v="1260"/>
  </r>
  <r>
    <n v="8266"/>
    <s v="2025-08-22"/>
    <x v="3"/>
    <x v="0"/>
    <s v="Office Chair Deluxe"/>
    <s v="CUST-0015"/>
    <s v="Lucas Tanaka"/>
    <n v="6"/>
    <n v="140"/>
    <n v="840"/>
    <n v="390"/>
    <n v="450"/>
  </r>
  <r>
    <n v="8267"/>
    <s v="2025-01-21"/>
    <x v="0"/>
    <x v="2"/>
    <s v="Wireless Mouse"/>
    <s v="CUST-0038"/>
    <s v="Emma Clarke"/>
    <n v="6"/>
    <n v="25"/>
    <n v="150"/>
    <n v="48"/>
    <n v="102"/>
  </r>
  <r>
    <n v="8268"/>
    <s v="2025-03-08"/>
    <x v="2"/>
    <x v="2"/>
    <s v="Laptop Pro 15"/>
    <s v="CUST-0001"/>
    <s v="Sofia Rossi"/>
    <n v="9"/>
    <n v="1200"/>
    <n v="10800"/>
    <n v="7650"/>
    <n v="3150"/>
  </r>
  <r>
    <n v="8269"/>
    <s v="2025-06-19"/>
    <x v="3"/>
    <x v="2"/>
    <s v="4K Monitor"/>
    <s v="CUST-0039"/>
    <s v="Sofia Rossi"/>
    <n v="5"/>
    <n v="420"/>
    <n v="2100"/>
    <n v="1100"/>
    <n v="1000"/>
  </r>
  <r>
    <n v="8270"/>
    <s v="2025-06-12"/>
    <x v="0"/>
    <x v="1"/>
    <s v="Premium Pen Set"/>
    <s v="CUST-0025"/>
    <s v="Emma Clarke"/>
    <n v="5"/>
    <n v="15"/>
    <n v="75"/>
    <n v="25"/>
    <n v="50"/>
  </r>
  <r>
    <n v="8271"/>
    <s v="2025-12-19"/>
    <x v="3"/>
    <x v="2"/>
    <s v="Laptop Pro 15"/>
    <s v="CUST-0027"/>
    <s v="Lucas Tanaka"/>
    <n v="10"/>
    <n v="1200"/>
    <n v="12000"/>
    <n v="8500"/>
    <n v="3500"/>
  </r>
  <r>
    <n v="8272"/>
    <s v="2025-09-27"/>
    <x v="3"/>
    <x v="2"/>
    <s v="Wireless Mouse"/>
    <s v="CUST-0019"/>
    <s v="Liam Novak"/>
    <n v="10"/>
    <n v="25"/>
    <n v="250"/>
    <n v="80"/>
    <n v="170"/>
  </r>
  <r>
    <n v="8273"/>
    <s v="2025-09-21"/>
    <x v="3"/>
    <x v="2"/>
    <s v="Ergo Keyboard"/>
    <s v="CUST-0030"/>
    <s v="Lucas Tanaka"/>
    <n v="1"/>
    <n v="75"/>
    <n v="75"/>
    <n v="30"/>
    <n v="45"/>
  </r>
  <r>
    <n v="8274"/>
    <s v="2025-02-10"/>
    <x v="3"/>
    <x v="0"/>
    <s v="Bookshelf Unit"/>
    <s v="CUST-0005"/>
    <s v="Noah Kim"/>
    <n v="4"/>
    <n v="190"/>
    <n v="760"/>
    <n v="360"/>
    <n v="400"/>
  </r>
  <r>
    <n v="8275"/>
    <s v="2025-02-07"/>
    <x v="1"/>
    <x v="2"/>
    <s v="Laptop Pro 15"/>
    <s v="CUST-0003"/>
    <s v="Lucas Tanaka"/>
    <n v="3"/>
    <n v="1200"/>
    <n v="3600"/>
    <n v="2550"/>
    <n v="1050"/>
  </r>
  <r>
    <n v="8276"/>
    <s v="2025-07-24"/>
    <x v="2"/>
    <x v="0"/>
    <s v="Filing Cabinet"/>
    <s v="CUST-0027"/>
    <s v="Ava Müller"/>
    <n v="5"/>
    <n v="160"/>
    <n v="800"/>
    <n v="350"/>
    <n v="450"/>
  </r>
  <r>
    <n v="8277"/>
    <s v="2025-11-14"/>
    <x v="2"/>
    <x v="0"/>
    <s v="Office Chair Deluxe"/>
    <s v="CUST-0007"/>
    <s v="Noah Kim"/>
    <n v="3"/>
    <n v="140"/>
    <n v="420"/>
    <n v="195"/>
    <n v="225"/>
  </r>
  <r>
    <n v="8278"/>
    <s v="2025-09-12"/>
    <x v="1"/>
    <x v="0"/>
    <s v="Filing Cabinet"/>
    <s v="CUST-0023"/>
    <s v="Noah Kim"/>
    <n v="4"/>
    <n v="160"/>
    <n v="640"/>
    <n v="280"/>
    <n v="360"/>
  </r>
  <r>
    <n v="8279"/>
    <s v="2025-12-31"/>
    <x v="0"/>
    <x v="2"/>
    <s v="Wireless Mouse"/>
    <s v="CUST-0005"/>
    <s v="Ava Müller"/>
    <n v="1"/>
    <n v="25"/>
    <n v="25"/>
    <n v="8"/>
    <n v="17"/>
  </r>
  <r>
    <n v="8280"/>
    <s v="2025-01-10"/>
    <x v="0"/>
    <x v="0"/>
    <s v="Bookshelf Unit"/>
    <s v="CUST-0016"/>
    <s v="Ethan Silva"/>
    <n v="7"/>
    <n v="190"/>
    <n v="1330"/>
    <n v="630"/>
    <n v="700"/>
  </r>
  <r>
    <n v="8281"/>
    <s v="2025-10-07"/>
    <x v="2"/>
    <x v="0"/>
    <s v="Office Chair Deluxe"/>
    <s v="CUST-0005"/>
    <s v="Lucas Tanaka"/>
    <n v="3"/>
    <n v="140"/>
    <n v="420"/>
    <n v="195"/>
    <n v="225"/>
  </r>
  <r>
    <n v="8282"/>
    <s v="2025-01-06"/>
    <x v="2"/>
    <x v="0"/>
    <s v="Filing Cabinet"/>
    <s v="CUST-0035"/>
    <s v="Sofia Rossi"/>
    <n v="4"/>
    <n v="160"/>
    <n v="640"/>
    <n v="280"/>
    <n v="360"/>
  </r>
  <r>
    <n v="8283"/>
    <s v="2025-08-18"/>
    <x v="1"/>
    <x v="2"/>
    <s v="Wireless Mouse"/>
    <s v="CUST-0006"/>
    <s v="Liam Novak"/>
    <n v="8"/>
    <n v="25"/>
    <n v="200"/>
    <n v="64"/>
    <n v="136"/>
  </r>
  <r>
    <n v="8284"/>
    <s v="2025-01-01"/>
    <x v="2"/>
    <x v="2"/>
    <s v="Laptop Pro 15"/>
    <s v="CUST-0018"/>
    <s v="Sofia Rossi"/>
    <n v="8"/>
    <n v="1200"/>
    <n v="9600"/>
    <n v="6800"/>
    <n v="2800"/>
  </r>
  <r>
    <n v="8285"/>
    <s v="2025-03-17"/>
    <x v="1"/>
    <x v="0"/>
    <s v="Standing Desk"/>
    <s v="CUST-0007"/>
    <s v="Olivia Dubois"/>
    <n v="10"/>
    <n v="380"/>
    <n v="3800"/>
    <n v="1800"/>
    <n v="2000"/>
  </r>
  <r>
    <n v="8286"/>
    <s v="2025-04-28"/>
    <x v="3"/>
    <x v="1"/>
    <s v="Premium Pen Set"/>
    <s v="CUST-0016"/>
    <s v="Liam Novak"/>
    <n v="8"/>
    <n v="15"/>
    <n v="120"/>
    <n v="40"/>
    <n v="80"/>
  </r>
  <r>
    <n v="8287"/>
    <s v="2025-08-12"/>
    <x v="1"/>
    <x v="0"/>
    <s v="Filing Cabinet"/>
    <s v="CUST-0019"/>
    <s v="Lucas Tanaka"/>
    <n v="13"/>
    <n v="160"/>
    <n v="2080"/>
    <n v="910"/>
    <n v="1170"/>
  </r>
  <r>
    <n v="8288"/>
    <s v="2025-04-21"/>
    <x v="2"/>
    <x v="1"/>
    <s v="Notebook Pack"/>
    <s v="CUST-0039"/>
    <s v="Ethan Silva"/>
    <n v="9"/>
    <n v="9"/>
    <n v="81"/>
    <n v="27"/>
    <n v="54"/>
  </r>
  <r>
    <n v="8289"/>
    <s v="2025-08-31"/>
    <x v="3"/>
    <x v="2"/>
    <s v="4K Monitor"/>
    <s v="CUST-0022"/>
    <s v="Lucas Tanaka"/>
    <n v="10"/>
    <n v="420"/>
    <n v="4200"/>
    <n v="2200"/>
    <n v="2000"/>
  </r>
  <r>
    <n v="8290"/>
    <s v="2025-10-31"/>
    <x v="1"/>
    <x v="0"/>
    <s v="Office Chair Deluxe"/>
    <s v="CUST-0022"/>
    <s v="Liam Novak"/>
    <n v="4"/>
    <n v="140"/>
    <n v="560"/>
    <n v="260"/>
    <n v="300"/>
  </r>
  <r>
    <n v="8291"/>
    <s v="2025-07-27"/>
    <x v="3"/>
    <x v="2"/>
    <s v="4K Monitor"/>
    <s v="CUST-0020"/>
    <s v="Liam Novak"/>
    <n v="3"/>
    <n v="420"/>
    <n v="1260"/>
    <n v="660"/>
    <n v="600"/>
  </r>
  <r>
    <n v="8292"/>
    <s v="2025-07-19"/>
    <x v="1"/>
    <x v="1"/>
    <s v="Premium Pen Set"/>
    <s v="CUST-0016"/>
    <s v="Olivia Dubois"/>
    <n v="15"/>
    <n v="15"/>
    <n v="225"/>
    <n v="75"/>
    <n v="150"/>
  </r>
  <r>
    <n v="8293"/>
    <s v="2025-11-13"/>
    <x v="2"/>
    <x v="1"/>
    <s v="Notebook Pack"/>
    <s v="CUST-0038"/>
    <s v="Emma Clarke"/>
    <n v="6"/>
    <n v="9"/>
    <n v="54"/>
    <n v="18"/>
    <n v="36"/>
  </r>
  <r>
    <n v="8294"/>
    <s v="2025-07-14"/>
    <x v="0"/>
    <x v="2"/>
    <s v="Wireless Mouse"/>
    <s v="CUST-0002"/>
    <s v="Ava Müller"/>
    <n v="3"/>
    <n v="25"/>
    <n v="75"/>
    <n v="24"/>
    <n v="51"/>
  </r>
  <r>
    <n v="8295"/>
    <s v="2025-08-30"/>
    <x v="0"/>
    <x v="2"/>
    <s v="Wireless Mouse"/>
    <s v="CUST-0023"/>
    <s v="Ava Müller"/>
    <n v="11"/>
    <n v="25"/>
    <n v="275"/>
    <n v="88"/>
    <n v="187"/>
  </r>
  <r>
    <n v="8296"/>
    <s v="2025-01-30"/>
    <x v="2"/>
    <x v="0"/>
    <s v="Office Chair Deluxe"/>
    <s v="CUST-0008"/>
    <s v="Olivia Dubois"/>
    <n v="8"/>
    <n v="140"/>
    <n v="1120"/>
    <n v="520"/>
    <n v="600"/>
  </r>
  <r>
    <n v="8297"/>
    <s v="2025-07-23"/>
    <x v="3"/>
    <x v="2"/>
    <s v="Wireless Mouse"/>
    <s v="CUST-0015"/>
    <s v="Ethan Silva"/>
    <n v="14"/>
    <n v="25"/>
    <n v="350"/>
    <n v="112"/>
    <n v="238"/>
  </r>
  <r>
    <n v="8298"/>
    <s v="2025-01-25"/>
    <x v="3"/>
    <x v="2"/>
    <s v="Wireless Mouse"/>
    <s v="CUST-0012"/>
    <s v="Emma Clarke"/>
    <n v="4"/>
    <n v="25"/>
    <n v="100"/>
    <n v="32"/>
    <n v="68"/>
  </r>
  <r>
    <n v="8299"/>
    <s v="2025-11-12"/>
    <x v="1"/>
    <x v="0"/>
    <s v="Standing Desk"/>
    <s v="CUST-0023"/>
    <s v="Liam Novak"/>
    <n v="8"/>
    <n v="380"/>
    <n v="3040"/>
    <n v="1440"/>
    <n v="1600"/>
  </r>
  <r>
    <n v="8300"/>
    <s v="2025-05-18"/>
    <x v="1"/>
    <x v="2"/>
    <s v="4K Monitor"/>
    <s v="CUST-0023"/>
    <s v="Liam Novak"/>
    <n v="15"/>
    <n v="420"/>
    <n v="6300"/>
    <n v="3300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B11" firstHeaderRow="1" firstDataRow="1" firstDataCol="1"/>
  <pivotFields count="12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Data" displayName="SalesData" ref="A1:L301" totalsRowShown="0">
  <autoFilter ref="A1:L301"/>
  <tableColumns count="12">
    <tableColumn id="1" name="OrderID"/>
    <tableColumn id="2" name="Date"/>
    <tableColumn id="3" name="Region"/>
    <tableColumn id="4" name="Category"/>
    <tableColumn id="5" name="Product"/>
    <tableColumn id="6" name="CustomerID"/>
    <tableColumn id="7" name="SalesRep"/>
    <tableColumn id="8" name="Quantity"/>
    <tableColumn id="9" name="UnitPrice"/>
    <tableColumn id="10" name="Revenue"/>
    <tableColumn id="11" name="COGS"/>
    <tableColumn id="12" name="GrossProf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ustomerData" displayName="CustomerData" ref="A1:E41" totalsRowShown="0">
  <autoFilter ref="A1:E41"/>
  <tableColumns count="5">
    <tableColumn id="1" name="CustomerID"/>
    <tableColumn id="2" name="CustomerName"/>
    <tableColumn id="3" name="Segment"/>
    <tableColumn id="4" name="Region"/>
    <tableColumn id="5" name="JoinYea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ProductData" displayName="ProductData" ref="A1:E11" totalsRowShown="0">
  <autoFilter ref="A1:E11"/>
  <tableColumns count="5">
    <tableColumn id="1" name="Product"/>
    <tableColumn id="2" name="Category"/>
    <tableColumn id="3" name="UnitCost"/>
    <tableColumn id="4" name="UnitPrice"/>
    <tableColumn id="5" name="MarginPc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BudgetData" displayName="BudgetData" ref="A1:D49" totalsRowShown="0">
  <autoFilter ref="A1:D49"/>
  <tableColumns count="4">
    <tableColumn id="1" name="Month"/>
    <tableColumn id="2" name="Department"/>
    <tableColumn id="3" name="Budgeted"/>
    <tableColumn id="4" name="Actu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N30"/>
  <sheetViews>
    <sheetView showGridLines="0" topLeftCell="A25" zoomScale="85" zoomScaleNormal="85" workbookViewId="0">
      <selection activeCell="I75" sqref="I75"/>
    </sheetView>
  </sheetViews>
  <sheetFormatPr defaultRowHeight="15" x14ac:dyDescent="0.25"/>
  <cols>
    <col min="1" max="4" width="13" style="14" customWidth="1"/>
    <col min="5" max="6" width="4" style="14" customWidth="1"/>
    <col min="7" max="10" width="13" style="14" customWidth="1"/>
    <col min="11" max="12" width="4" style="14" customWidth="1"/>
    <col min="14" max="14" width="18" style="14" customWidth="1"/>
  </cols>
  <sheetData>
    <row r="1" spans="1:12" ht="21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1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25">
      <c r="A3" s="18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x14ac:dyDescent="0.25">
      <c r="A5" s="25" t="s">
        <v>2</v>
      </c>
      <c r="B5" s="17"/>
      <c r="C5" s="17"/>
      <c r="D5" s="24" t="s">
        <v>3</v>
      </c>
      <c r="E5" s="17"/>
      <c r="F5" s="17"/>
      <c r="G5" s="26" t="s">
        <v>4</v>
      </c>
      <c r="H5" s="17"/>
      <c r="I5" s="17"/>
      <c r="J5" s="19" t="s">
        <v>5</v>
      </c>
      <c r="K5" s="17"/>
      <c r="L5" s="17"/>
    </row>
    <row r="6" spans="1:12" x14ac:dyDescent="0.25">
      <c r="A6" s="20">
        <f>SUM(Financial_Model!B5:B16)</f>
        <v>610434</v>
      </c>
      <c r="B6" s="17"/>
      <c r="C6" s="17"/>
      <c r="D6" s="23">
        <f>SUM(Financial_Model!D5:D16)</f>
        <v>267284</v>
      </c>
      <c r="E6" s="17"/>
      <c r="F6" s="17"/>
      <c r="G6" s="21">
        <f>AVERAGE(Financial_Model!E5:E16)</f>
        <v>44.333333333333336</v>
      </c>
      <c r="H6" s="17"/>
      <c r="I6" s="17"/>
      <c r="J6" s="27">
        <f>SUM(Financial_Model!D21:D24)</f>
        <v>684</v>
      </c>
      <c r="K6" s="17"/>
      <c r="L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10" spans="1:12" ht="15.75" customHeight="1" x14ac:dyDescent="0.25">
      <c r="A10" s="22" t="s">
        <v>6</v>
      </c>
      <c r="B10" s="17"/>
      <c r="C10" s="17"/>
      <c r="D10" s="17"/>
      <c r="E10" s="17"/>
      <c r="F10" s="17"/>
      <c r="G10" s="22" t="s">
        <v>7</v>
      </c>
      <c r="H10" s="17"/>
      <c r="I10" s="17"/>
      <c r="J10" s="17"/>
      <c r="K10" s="17"/>
      <c r="L10" s="17"/>
    </row>
    <row r="27" spans="1:12" ht="15.75" customHeight="1" x14ac:dyDescent="0.25">
      <c r="A27" s="22" t="s">
        <v>8</v>
      </c>
      <c r="B27" s="17"/>
      <c r="C27" s="17"/>
      <c r="D27" s="17"/>
      <c r="E27" s="17"/>
      <c r="F27" s="17"/>
      <c r="G27" s="22" t="s">
        <v>9</v>
      </c>
      <c r="H27" s="17"/>
      <c r="I27" s="17"/>
      <c r="J27" s="17"/>
      <c r="K27" s="17"/>
      <c r="L27" s="17"/>
    </row>
    <row r="28" spans="1:12" x14ac:dyDescent="0.25">
      <c r="G28" s="1" t="s">
        <v>10</v>
      </c>
      <c r="J28" s="6">
        <f>Financial_Model!B33</f>
        <v>100</v>
      </c>
    </row>
    <row r="29" spans="1:12" x14ac:dyDescent="0.25">
      <c r="G29" s="1" t="s">
        <v>11</v>
      </c>
      <c r="J29" s="3">
        <f>Financial_Model!B34</f>
        <v>120000</v>
      </c>
    </row>
    <row r="30" spans="1:12" x14ac:dyDescent="0.25">
      <c r="G30" s="1" t="s">
        <v>12</v>
      </c>
      <c r="J30" s="3">
        <f>Financial_Model!B32</f>
        <v>350</v>
      </c>
    </row>
  </sheetData>
  <mergeCells count="14">
    <mergeCell ref="A10:F10"/>
    <mergeCell ref="G27:L27"/>
    <mergeCell ref="D6:F7"/>
    <mergeCell ref="D5:F5"/>
    <mergeCell ref="A5:C5"/>
    <mergeCell ref="G5:I5"/>
    <mergeCell ref="G10:L10"/>
    <mergeCell ref="J6:L7"/>
    <mergeCell ref="A27:F27"/>
    <mergeCell ref="A1:L2"/>
    <mergeCell ref="A3:L3"/>
    <mergeCell ref="J5:L5"/>
    <mergeCell ref="A6:C7"/>
    <mergeCell ref="G6:I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31"/>
  <sheetViews>
    <sheetView showGridLines="0" workbookViewId="0">
      <selection activeCell="I7" sqref="I7"/>
    </sheetView>
  </sheetViews>
  <sheetFormatPr defaultRowHeight="15" x14ac:dyDescent="0.25"/>
  <cols>
    <col min="1" max="1" width="3" style="14" customWidth="1"/>
    <col min="2" max="2" width="95" style="14" customWidth="1"/>
    <col min="4" max="4" width="10.140625" bestFit="1" customWidth="1"/>
  </cols>
  <sheetData>
    <row r="1" spans="1:8" x14ac:dyDescent="0.25">
      <c r="A1" s="28" t="s">
        <v>13</v>
      </c>
      <c r="B1" s="17"/>
      <c r="C1" s="17"/>
      <c r="D1" s="17"/>
      <c r="E1" s="17"/>
      <c r="F1" s="17"/>
      <c r="G1" s="17"/>
      <c r="H1" s="17"/>
    </row>
    <row r="2" spans="1:8" x14ac:dyDescent="0.25">
      <c r="A2" s="17"/>
      <c r="B2" s="17"/>
      <c r="C2" s="17"/>
      <c r="D2" s="17"/>
      <c r="E2" s="17"/>
      <c r="F2" s="17"/>
      <c r="G2" s="17"/>
      <c r="H2" s="17"/>
    </row>
    <row r="4" spans="1:8" ht="16.5" customHeight="1" x14ac:dyDescent="0.25">
      <c r="B4" s="7" t="s">
        <v>14</v>
      </c>
    </row>
    <row r="5" spans="1:8" ht="29.25" customHeight="1" x14ac:dyDescent="0.25">
      <c r="B5" s="8" t="s">
        <v>15</v>
      </c>
    </row>
    <row r="7" spans="1:8" ht="16.5" customHeight="1" x14ac:dyDescent="0.25">
      <c r="B7" s="7" t="s">
        <v>16</v>
      </c>
    </row>
    <row r="8" spans="1:8" x14ac:dyDescent="0.25">
      <c r="B8" s="9" t="s">
        <v>17</v>
      </c>
      <c r="D8" s="10">
        <f>Dashboard!A6</f>
        <v>610434</v>
      </c>
    </row>
    <row r="9" spans="1:8" x14ac:dyDescent="0.25">
      <c r="B9" s="9" t="s">
        <v>18</v>
      </c>
      <c r="D9" s="10">
        <f>Dashboard!D6</f>
        <v>267284</v>
      </c>
    </row>
    <row r="10" spans="1:8" x14ac:dyDescent="0.25">
      <c r="B10" s="9" t="s">
        <v>19</v>
      </c>
      <c r="D10" s="15">
        <f>Dashboard!G6</f>
        <v>44.333333333333336</v>
      </c>
    </row>
    <row r="11" spans="1:8" x14ac:dyDescent="0.25">
      <c r="B11" s="9" t="s">
        <v>20</v>
      </c>
      <c r="D11" s="10">
        <f>Dashboard!J6</f>
        <v>684</v>
      </c>
    </row>
    <row r="13" spans="1:8" ht="16.5" customHeight="1" x14ac:dyDescent="0.25">
      <c r="B13" s="7" t="s">
        <v>21</v>
      </c>
    </row>
    <row r="14" spans="1:8" ht="43.5" customHeight="1" x14ac:dyDescent="0.25">
      <c r="B14" s="8" t="s">
        <v>22</v>
      </c>
    </row>
    <row r="15" spans="1:8" ht="29.25" customHeight="1" x14ac:dyDescent="0.25">
      <c r="B15" s="8" t="s">
        <v>23</v>
      </c>
    </row>
    <row r="16" spans="1:8" ht="29.25" customHeight="1" x14ac:dyDescent="0.25">
      <c r="B16" s="8" t="s">
        <v>24</v>
      </c>
    </row>
    <row r="17" spans="2:2" ht="43.5" customHeight="1" x14ac:dyDescent="0.25">
      <c r="B17" s="8" t="s">
        <v>25</v>
      </c>
    </row>
    <row r="18" spans="2:2" ht="43.5" customHeight="1" x14ac:dyDescent="0.25">
      <c r="B18" s="8" t="s">
        <v>26</v>
      </c>
    </row>
    <row r="20" spans="2:2" ht="16.5" customHeight="1" x14ac:dyDescent="0.25">
      <c r="B20" s="7" t="s">
        <v>27</v>
      </c>
    </row>
    <row r="21" spans="2:2" ht="29.25" customHeight="1" x14ac:dyDescent="0.25">
      <c r="B21" s="8" t="s">
        <v>28</v>
      </c>
    </row>
    <row r="22" spans="2:2" ht="29.25" customHeight="1" x14ac:dyDescent="0.25">
      <c r="B22" s="8" t="s">
        <v>29</v>
      </c>
    </row>
    <row r="23" spans="2:2" ht="29.25" customHeight="1" x14ac:dyDescent="0.25">
      <c r="B23" s="8" t="s">
        <v>30</v>
      </c>
    </row>
    <row r="24" spans="2:2" ht="29.25" customHeight="1" x14ac:dyDescent="0.25">
      <c r="B24" s="8" t="s">
        <v>31</v>
      </c>
    </row>
    <row r="25" spans="2:2" ht="29.25" customHeight="1" x14ac:dyDescent="0.25">
      <c r="B25" s="8" t="s">
        <v>32</v>
      </c>
    </row>
    <row r="27" spans="2:2" ht="16.5" customHeight="1" x14ac:dyDescent="0.25">
      <c r="B27" s="7" t="s">
        <v>33</v>
      </c>
    </row>
    <row r="28" spans="2:2" ht="29.25" customHeight="1" x14ac:dyDescent="0.25">
      <c r="B28" s="8" t="s">
        <v>34</v>
      </c>
    </row>
    <row r="29" spans="2:2" ht="29.25" customHeight="1" x14ac:dyDescent="0.25">
      <c r="B29" s="8" t="s">
        <v>35</v>
      </c>
    </row>
    <row r="30" spans="2:2" ht="29.25" customHeight="1" x14ac:dyDescent="0.25">
      <c r="B30" s="8" t="s">
        <v>36</v>
      </c>
    </row>
    <row r="31" spans="2:2" ht="43.5" customHeight="1" x14ac:dyDescent="0.25">
      <c r="B31" s="8" t="s">
        <v>37</v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H52"/>
  <sheetViews>
    <sheetView zoomScale="115" zoomScaleNormal="115" workbookViewId="0">
      <selection activeCell="D38" sqref="D38"/>
    </sheetView>
  </sheetViews>
  <sheetFormatPr defaultColWidth="8.7109375" defaultRowHeight="15" x14ac:dyDescent="0.25"/>
  <cols>
    <col min="1" max="1" width="38.7109375" style="14" bestFit="1" customWidth="1"/>
    <col min="2" max="2" width="17.28515625" style="14" bestFit="1" customWidth="1"/>
    <col min="3" max="3" width="22.28515625" style="14" bestFit="1" customWidth="1"/>
    <col min="4" max="4" width="23.7109375" bestFit="1" customWidth="1"/>
    <col min="5" max="5" width="16.7109375" bestFit="1" customWidth="1"/>
    <col min="6" max="6" width="23.5703125" bestFit="1" customWidth="1"/>
  </cols>
  <sheetData>
    <row r="1" spans="1:8" ht="15" customHeight="1" x14ac:dyDescent="0.25">
      <c r="A1" s="30" t="s">
        <v>38</v>
      </c>
      <c r="B1" s="17"/>
      <c r="C1" s="17"/>
      <c r="D1" s="17"/>
      <c r="E1" s="17"/>
      <c r="F1" s="17"/>
      <c r="G1" s="17"/>
      <c r="H1" s="17"/>
    </row>
    <row r="3" spans="1:8" ht="15" customHeight="1" x14ac:dyDescent="0.25">
      <c r="A3" s="29" t="s">
        <v>39</v>
      </c>
      <c r="B3" s="17"/>
      <c r="C3" s="17"/>
      <c r="D3" s="17"/>
      <c r="E3" s="17"/>
      <c r="F3" s="17"/>
      <c r="G3" s="17"/>
      <c r="H3" s="17"/>
    </row>
    <row r="4" spans="1:8" ht="15" customHeight="1" x14ac:dyDescent="0.2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</row>
    <row r="5" spans="1:8" ht="15" customHeight="1" x14ac:dyDescent="0.25">
      <c r="A5" t="s">
        <v>46</v>
      </c>
      <c r="B5" s="3">
        <f>SUMPRODUCT((MONTH(Sales_Data!$B$2:$B$301)=1)*(Sales_Data!$J$2:$J$301))</f>
        <v>29771</v>
      </c>
      <c r="C5" s="3">
        <f>SUMPRODUCT((MONTH(Sales_Data!$B$2:$B$301)=1)*(Sales_Data!$K$2:$K$301))</f>
        <v>15907</v>
      </c>
      <c r="D5" s="3">
        <f t="shared" ref="D5:D16" si="0">B5-C5</f>
        <v>13864</v>
      </c>
      <c r="E5" s="4">
        <f t="shared" ref="E5:E16" si="1">IFERROR(ROUND(D5/B5*100,1),0)</f>
        <v>46.6</v>
      </c>
      <c r="F5" s="4">
        <v>0</v>
      </c>
    </row>
    <row r="6" spans="1:8" ht="15" customHeight="1" x14ac:dyDescent="0.25">
      <c r="A6" t="s">
        <v>47</v>
      </c>
      <c r="B6" s="3">
        <f>SUMPRODUCT((MONTH(Sales_Data!$B$2:$B$301)=2)*(Sales_Data!$J$2:$J$301))</f>
        <v>33061</v>
      </c>
      <c r="C6" s="3">
        <f>SUMPRODUCT((MONTH(Sales_Data!$B$2:$B$301)=2)*(Sales_Data!$K$2:$K$301))</f>
        <v>19892</v>
      </c>
      <c r="D6" s="3">
        <f t="shared" si="0"/>
        <v>13169</v>
      </c>
      <c r="E6" s="4">
        <f t="shared" si="1"/>
        <v>39.799999999999997</v>
      </c>
      <c r="F6" s="4">
        <f t="shared" ref="F6:F16" si="2">IFERROR(ROUND((B6-B5)/B5*100,1),0)</f>
        <v>11.1</v>
      </c>
    </row>
    <row r="7" spans="1:8" ht="15" customHeight="1" x14ac:dyDescent="0.25">
      <c r="A7" t="s">
        <v>48</v>
      </c>
      <c r="B7" s="3">
        <f>SUMPRODUCT((MONTH(Sales_Data!$B$2:$B$301)=3)*(Sales_Data!$J$2:$J$301))</f>
        <v>61462</v>
      </c>
      <c r="C7" s="3">
        <f>SUMPRODUCT((MONTH(Sales_Data!$B$2:$B$301)=3)*(Sales_Data!$K$2:$K$301))</f>
        <v>35551</v>
      </c>
      <c r="D7" s="3">
        <f t="shared" si="0"/>
        <v>25911</v>
      </c>
      <c r="E7" s="4">
        <f t="shared" si="1"/>
        <v>42.2</v>
      </c>
      <c r="F7" s="4">
        <f t="shared" si="2"/>
        <v>85.9</v>
      </c>
    </row>
    <row r="8" spans="1:8" ht="15" customHeight="1" x14ac:dyDescent="0.25">
      <c r="A8" t="s">
        <v>49</v>
      </c>
      <c r="B8" s="3">
        <f>SUMPRODUCT((MONTH(Sales_Data!$B$2:$B$301)=4)*(Sales_Data!$J$2:$J$301))</f>
        <v>26088</v>
      </c>
      <c r="C8" s="3">
        <f>SUMPRODUCT((MONTH(Sales_Data!$B$2:$B$301)=4)*(Sales_Data!$K$2:$K$301))</f>
        <v>12243</v>
      </c>
      <c r="D8" s="3">
        <f t="shared" si="0"/>
        <v>13845</v>
      </c>
      <c r="E8" s="4">
        <f t="shared" si="1"/>
        <v>53.1</v>
      </c>
      <c r="F8" s="4">
        <f t="shared" si="2"/>
        <v>-57.6</v>
      </c>
    </row>
    <row r="9" spans="1:8" ht="15" customHeight="1" x14ac:dyDescent="0.25">
      <c r="A9" t="s">
        <v>50</v>
      </c>
      <c r="B9" s="3">
        <f>SUMPRODUCT((MONTH(Sales_Data!$B$2:$B$301)=5)*(Sales_Data!$J$2:$J$301))</f>
        <v>45155</v>
      </c>
      <c r="C9" s="3">
        <f>SUMPRODUCT((MONTH(Sales_Data!$B$2:$B$301)=5)*(Sales_Data!$K$2:$K$301))</f>
        <v>23814</v>
      </c>
      <c r="D9" s="3">
        <f t="shared" si="0"/>
        <v>21341</v>
      </c>
      <c r="E9" s="4">
        <f t="shared" si="1"/>
        <v>47.3</v>
      </c>
      <c r="F9" s="4">
        <f t="shared" si="2"/>
        <v>73.099999999999994</v>
      </c>
    </row>
    <row r="10" spans="1:8" ht="15" customHeight="1" x14ac:dyDescent="0.25">
      <c r="A10" t="s">
        <v>51</v>
      </c>
      <c r="B10" s="3">
        <f>SUMPRODUCT((MONTH(Sales_Data!$B$2:$B$301)=6)*(Sales_Data!$J$2:$J$301))</f>
        <v>62980</v>
      </c>
      <c r="C10" s="3">
        <f>SUMPRODUCT((MONTH(Sales_Data!$B$2:$B$301)=6)*(Sales_Data!$K$2:$K$301))</f>
        <v>35269</v>
      </c>
      <c r="D10" s="3">
        <f t="shared" si="0"/>
        <v>27711</v>
      </c>
      <c r="E10" s="4">
        <f t="shared" si="1"/>
        <v>44</v>
      </c>
      <c r="F10" s="4">
        <f t="shared" si="2"/>
        <v>39.5</v>
      </c>
    </row>
    <row r="11" spans="1:8" ht="15" customHeight="1" x14ac:dyDescent="0.25">
      <c r="A11" t="s">
        <v>52</v>
      </c>
      <c r="B11" s="3">
        <f>SUMPRODUCT((MONTH(Sales_Data!$B$2:$B$301)=7)*(Sales_Data!$J$2:$J$301))</f>
        <v>93004</v>
      </c>
      <c r="C11" s="3">
        <f>SUMPRODUCT((MONTH(Sales_Data!$B$2:$B$301)=7)*(Sales_Data!$K$2:$K$301))</f>
        <v>51976</v>
      </c>
      <c r="D11" s="3">
        <f t="shared" si="0"/>
        <v>41028</v>
      </c>
      <c r="E11" s="4">
        <f t="shared" si="1"/>
        <v>44.1</v>
      </c>
      <c r="F11" s="4">
        <f t="shared" si="2"/>
        <v>47.7</v>
      </c>
    </row>
    <row r="12" spans="1:8" ht="15" customHeight="1" x14ac:dyDescent="0.25">
      <c r="A12" t="s">
        <v>53</v>
      </c>
      <c r="B12" s="3">
        <f>SUMPRODUCT((MONTH(Sales_Data!$B$2:$B$301)=8)*(Sales_Data!$J$2:$J$301))</f>
        <v>36426</v>
      </c>
      <c r="C12" s="3">
        <f>SUMPRODUCT((MONTH(Sales_Data!$B$2:$B$301)=8)*(Sales_Data!$K$2:$K$301))</f>
        <v>18678</v>
      </c>
      <c r="D12" s="3">
        <f t="shared" si="0"/>
        <v>17748</v>
      </c>
      <c r="E12" s="4">
        <f t="shared" si="1"/>
        <v>48.7</v>
      </c>
      <c r="F12" s="4">
        <f t="shared" si="2"/>
        <v>-60.8</v>
      </c>
    </row>
    <row r="13" spans="1:8" ht="15" customHeight="1" x14ac:dyDescent="0.25">
      <c r="A13" t="s">
        <v>54</v>
      </c>
      <c r="B13" s="3">
        <f>SUMPRODUCT((MONTH(Sales_Data!$B$2:$B$301)=9)*(Sales_Data!$J$2:$J$301))</f>
        <v>43734</v>
      </c>
      <c r="C13" s="3">
        <f>SUMPRODUCT((MONTH(Sales_Data!$B$2:$B$301)=9)*(Sales_Data!$K$2:$K$301))</f>
        <v>26851</v>
      </c>
      <c r="D13" s="3">
        <f t="shared" si="0"/>
        <v>16883</v>
      </c>
      <c r="E13" s="4">
        <f t="shared" si="1"/>
        <v>38.6</v>
      </c>
      <c r="F13" s="4">
        <f t="shared" si="2"/>
        <v>20.100000000000001</v>
      </c>
    </row>
    <row r="14" spans="1:8" ht="15" customHeight="1" x14ac:dyDescent="0.25">
      <c r="A14" t="s">
        <v>55</v>
      </c>
      <c r="B14" s="3">
        <f>SUMPRODUCT((MONTH(Sales_Data!$B$2:$B$301)=10)*(Sales_Data!$J$2:$J$301))</f>
        <v>59486</v>
      </c>
      <c r="C14" s="3">
        <f>SUMPRODUCT((MONTH(Sales_Data!$B$2:$B$301)=10)*(Sales_Data!$K$2:$K$301))</f>
        <v>33859</v>
      </c>
      <c r="D14" s="3">
        <f t="shared" si="0"/>
        <v>25627</v>
      </c>
      <c r="E14" s="4">
        <f t="shared" si="1"/>
        <v>43.1</v>
      </c>
      <c r="F14" s="4">
        <f t="shared" si="2"/>
        <v>36</v>
      </c>
    </row>
    <row r="15" spans="1:8" ht="15" customHeight="1" x14ac:dyDescent="0.25">
      <c r="A15" t="s">
        <v>56</v>
      </c>
      <c r="B15" s="3">
        <f>SUMPRODUCT((MONTH(Sales_Data!$B$2:$B$301)=11)*(Sales_Data!$J$2:$J$301))</f>
        <v>71447</v>
      </c>
      <c r="C15" s="3">
        <f>SUMPRODUCT((MONTH(Sales_Data!$B$2:$B$301)=11)*(Sales_Data!$K$2:$K$301))</f>
        <v>41989</v>
      </c>
      <c r="D15" s="3">
        <f t="shared" si="0"/>
        <v>29458</v>
      </c>
      <c r="E15" s="4">
        <f t="shared" si="1"/>
        <v>41.2</v>
      </c>
      <c r="F15" s="4">
        <f t="shared" si="2"/>
        <v>20.100000000000001</v>
      </c>
    </row>
    <row r="16" spans="1:8" ht="15" customHeight="1" x14ac:dyDescent="0.25">
      <c r="A16" t="s">
        <v>57</v>
      </c>
      <c r="B16" s="3">
        <f>SUMPRODUCT((MONTH(Sales_Data!$B$2:$B$301)=12)*(Sales_Data!$J$2:$J$301))</f>
        <v>47820</v>
      </c>
      <c r="C16" s="3">
        <f>SUMPRODUCT((MONTH(Sales_Data!$B$2:$B$301)=12)*(Sales_Data!$K$2:$K$301))</f>
        <v>27121</v>
      </c>
      <c r="D16" s="3">
        <f t="shared" si="0"/>
        <v>20699</v>
      </c>
      <c r="E16" s="4">
        <f t="shared" si="1"/>
        <v>43.3</v>
      </c>
      <c r="F16" s="4">
        <f t="shared" si="2"/>
        <v>-33.1</v>
      </c>
    </row>
    <row r="19" spans="1:8" ht="15" customHeight="1" x14ac:dyDescent="0.25">
      <c r="A19" s="29" t="s">
        <v>58</v>
      </c>
      <c r="B19" s="17"/>
      <c r="C19" s="17"/>
      <c r="D19" s="17"/>
      <c r="E19" s="17"/>
      <c r="F19" s="17"/>
      <c r="G19" s="17"/>
      <c r="H19" s="17"/>
    </row>
    <row r="20" spans="1:8" ht="15" customHeight="1" x14ac:dyDescent="0.25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63</v>
      </c>
    </row>
    <row r="21" spans="1:8" ht="15" customHeight="1" x14ac:dyDescent="0.25">
      <c r="A21" t="s">
        <v>64</v>
      </c>
      <c r="B21" s="3">
        <f>SUMIFS(Budget_Data!C2:C49,Budget_Data!B2:B49,A21)</f>
        <v>2172697</v>
      </c>
      <c r="C21" s="3">
        <f>SUMIFS(Budget_Data!D2:D49,Budget_Data!B2:B49,A21)</f>
        <v>2111917</v>
      </c>
      <c r="D21" s="3">
        <f>C21-B21</f>
        <v>-60780</v>
      </c>
      <c r="E21" s="4">
        <f>IFERROR(ROUND((C21-B21)/B21*100,1),0)</f>
        <v>-2.8</v>
      </c>
    </row>
    <row r="22" spans="1:8" ht="15" customHeight="1" x14ac:dyDescent="0.25">
      <c r="A22" t="s">
        <v>65</v>
      </c>
      <c r="B22" s="3">
        <f>SUMIFS(Budget_Data!C2:C49,Budget_Data!B2:B49,A22)</f>
        <v>1082927</v>
      </c>
      <c r="C22" s="3">
        <f>SUMIFS(Budget_Data!D2:D49,Budget_Data!B2:B49,A22)</f>
        <v>1096696</v>
      </c>
      <c r="D22" s="3">
        <f>C22-B22</f>
        <v>13769</v>
      </c>
      <c r="E22" s="4">
        <f>IFERROR(ROUND((C22-B22)/B22*100,1),0)</f>
        <v>1.3</v>
      </c>
    </row>
    <row r="23" spans="1:8" ht="15" customHeight="1" x14ac:dyDescent="0.25">
      <c r="A23" t="s">
        <v>66</v>
      </c>
      <c r="B23" s="3">
        <f>SUMIFS(Budget_Data!C2:C49,Budget_Data!B2:B49,A23)</f>
        <v>1558179</v>
      </c>
      <c r="C23" s="3">
        <f>SUMIFS(Budget_Data!D2:D49,Budget_Data!B2:B49,A23)</f>
        <v>1587666</v>
      </c>
      <c r="D23" s="3">
        <f>C23-B23</f>
        <v>29487</v>
      </c>
      <c r="E23" s="4">
        <f>IFERROR(ROUND((C23-B23)/B23*100,1),0)</f>
        <v>1.9</v>
      </c>
    </row>
    <row r="24" spans="1:8" ht="15" customHeight="1" x14ac:dyDescent="0.25">
      <c r="A24" t="s">
        <v>67</v>
      </c>
      <c r="B24" s="3">
        <f>SUMIFS(Budget_Data!C2:C49,Budget_Data!B2:B49,A24)</f>
        <v>1338683</v>
      </c>
      <c r="C24" s="3">
        <f>SUMIFS(Budget_Data!D2:D49,Budget_Data!B2:B49,A24)</f>
        <v>1356891</v>
      </c>
      <c r="D24" s="3">
        <f>C24-B24</f>
        <v>18208</v>
      </c>
      <c r="E24" s="4">
        <f>IFERROR(ROUND((C24-B24)/B24*100,1),0)</f>
        <v>1.4</v>
      </c>
    </row>
    <row r="27" spans="1:8" ht="15" customHeight="1" x14ac:dyDescent="0.25">
      <c r="A27" s="29" t="s">
        <v>68</v>
      </c>
      <c r="B27" s="17"/>
      <c r="C27" s="17"/>
      <c r="D27" s="17"/>
      <c r="E27" s="17"/>
      <c r="F27" s="17"/>
      <c r="G27" s="17"/>
      <c r="H27" s="17"/>
    </row>
    <row r="28" spans="1:8" ht="15" customHeight="1" x14ac:dyDescent="0.25">
      <c r="A28" s="2" t="s">
        <v>69</v>
      </c>
      <c r="B28" s="2" t="s">
        <v>70</v>
      </c>
    </row>
    <row r="29" spans="1:8" ht="15" customHeight="1" x14ac:dyDescent="0.25">
      <c r="A29" t="s">
        <v>71</v>
      </c>
      <c r="B29" s="3">
        <v>34857.692307692298</v>
      </c>
    </row>
    <row r="30" spans="1:8" ht="15" customHeight="1" x14ac:dyDescent="0.25">
      <c r="A30" t="s">
        <v>72</v>
      </c>
      <c r="B30" s="3">
        <f>INDEX(Product_Data!D2:D11,MATCH("Laptop Pro 15",Product_Data!A2:A11,0))</f>
        <v>1200</v>
      </c>
    </row>
    <row r="31" spans="1:8" ht="15" customHeight="1" x14ac:dyDescent="0.25">
      <c r="A31" t="s">
        <v>73</v>
      </c>
      <c r="B31" s="3">
        <f>INDEX(Product_Data!C2:C11,MATCH("Laptop Pro 15",Product_Data!A2:A11,0))</f>
        <v>850</v>
      </c>
    </row>
    <row r="32" spans="1:8" ht="15" customHeight="1" x14ac:dyDescent="0.25">
      <c r="A32" t="s">
        <v>74</v>
      </c>
      <c r="B32" s="3">
        <f>B30-B31</f>
        <v>350</v>
      </c>
    </row>
    <row r="33" spans="1:8" ht="15" customHeight="1" x14ac:dyDescent="0.25">
      <c r="A33" t="s">
        <v>75</v>
      </c>
      <c r="B33" s="6">
        <f>ROUNDUP(B29/B32,0)</f>
        <v>100</v>
      </c>
    </row>
    <row r="34" spans="1:8" ht="15" customHeight="1" x14ac:dyDescent="0.25">
      <c r="A34" t="s">
        <v>76</v>
      </c>
      <c r="B34" s="3">
        <f>B33*B30</f>
        <v>120000</v>
      </c>
    </row>
    <row r="37" spans="1:8" ht="15.75" customHeight="1" x14ac:dyDescent="0.25">
      <c r="A37" s="22" t="s">
        <v>77</v>
      </c>
      <c r="B37" s="17"/>
      <c r="C37" s="17"/>
      <c r="D37" s="17"/>
      <c r="E37" s="17"/>
      <c r="F37" s="17"/>
      <c r="G37" s="17"/>
      <c r="H37" s="17"/>
    </row>
    <row r="38" spans="1:8" x14ac:dyDescent="0.25">
      <c r="A38" s="11" t="s">
        <v>40</v>
      </c>
      <c r="B38" s="11" t="s">
        <v>78</v>
      </c>
      <c r="C38" s="11" t="s">
        <v>79</v>
      </c>
      <c r="D38" s="11" t="s">
        <v>80</v>
      </c>
    </row>
    <row r="39" spans="1:8" x14ac:dyDescent="0.25">
      <c r="A39" t="str">
        <f t="shared" ref="A39:B50" si="3">A5</f>
        <v>Jan-2025</v>
      </c>
      <c r="B39" s="3">
        <f t="shared" si="3"/>
        <v>29771</v>
      </c>
      <c r="C39" s="3"/>
    </row>
    <row r="40" spans="1:8" x14ac:dyDescent="0.25">
      <c r="A40" t="str">
        <f t="shared" si="3"/>
        <v>Feb-2025</v>
      </c>
      <c r="B40" s="3">
        <f t="shared" si="3"/>
        <v>33061</v>
      </c>
      <c r="C40" s="3"/>
    </row>
    <row r="41" spans="1:8" x14ac:dyDescent="0.25">
      <c r="A41" t="str">
        <f t="shared" si="3"/>
        <v>Mar-2025</v>
      </c>
      <c r="B41" s="3">
        <f t="shared" si="3"/>
        <v>61462</v>
      </c>
      <c r="C41" s="3">
        <f t="shared" ref="C41:C50" si="4">AVERAGE(B39:B41)</f>
        <v>41431.333333333336</v>
      </c>
    </row>
    <row r="42" spans="1:8" x14ac:dyDescent="0.25">
      <c r="A42" t="str">
        <f t="shared" si="3"/>
        <v>Apr-2025</v>
      </c>
      <c r="B42" s="3">
        <f t="shared" si="3"/>
        <v>26088</v>
      </c>
      <c r="C42" s="3">
        <f t="shared" si="4"/>
        <v>40203.666666666664</v>
      </c>
    </row>
    <row r="43" spans="1:8" x14ac:dyDescent="0.25">
      <c r="A43" t="str">
        <f t="shared" si="3"/>
        <v>May-2025</v>
      </c>
      <c r="B43" s="3">
        <f t="shared" si="3"/>
        <v>45155</v>
      </c>
      <c r="C43" s="3">
        <f t="shared" si="4"/>
        <v>44235</v>
      </c>
    </row>
    <row r="44" spans="1:8" x14ac:dyDescent="0.25">
      <c r="A44" t="str">
        <f t="shared" si="3"/>
        <v>Jun-2025</v>
      </c>
      <c r="B44" s="3">
        <f t="shared" si="3"/>
        <v>62980</v>
      </c>
      <c r="C44" s="3">
        <f t="shared" si="4"/>
        <v>44741</v>
      </c>
    </row>
    <row r="45" spans="1:8" x14ac:dyDescent="0.25">
      <c r="A45" t="str">
        <f t="shared" si="3"/>
        <v>Jul-2025</v>
      </c>
      <c r="B45" s="3">
        <f t="shared" si="3"/>
        <v>93004</v>
      </c>
      <c r="C45" s="3">
        <f t="shared" si="4"/>
        <v>67046.333333333328</v>
      </c>
    </row>
    <row r="46" spans="1:8" x14ac:dyDescent="0.25">
      <c r="A46" t="str">
        <f t="shared" si="3"/>
        <v>Aug-2025</v>
      </c>
      <c r="B46" s="3">
        <f t="shared" si="3"/>
        <v>36426</v>
      </c>
      <c r="C46" s="3">
        <f t="shared" si="4"/>
        <v>64136.666666666664</v>
      </c>
    </row>
    <row r="47" spans="1:8" x14ac:dyDescent="0.25">
      <c r="A47" t="str">
        <f t="shared" si="3"/>
        <v>Sep-2025</v>
      </c>
      <c r="B47" s="3">
        <f t="shared" si="3"/>
        <v>43734</v>
      </c>
      <c r="C47" s="3">
        <f t="shared" si="4"/>
        <v>57721.333333333336</v>
      </c>
    </row>
    <row r="48" spans="1:8" x14ac:dyDescent="0.25">
      <c r="A48" t="str">
        <f t="shared" si="3"/>
        <v>Oct-2025</v>
      </c>
      <c r="B48" s="3">
        <f t="shared" si="3"/>
        <v>59486</v>
      </c>
      <c r="C48" s="3">
        <f t="shared" si="4"/>
        <v>46548.666666666664</v>
      </c>
    </row>
    <row r="49" spans="1:3" x14ac:dyDescent="0.25">
      <c r="A49" t="str">
        <f t="shared" si="3"/>
        <v>Nov-2025</v>
      </c>
      <c r="B49" s="3">
        <f t="shared" si="3"/>
        <v>71447</v>
      </c>
      <c r="C49" s="3">
        <f t="shared" si="4"/>
        <v>58222.333333333336</v>
      </c>
    </row>
    <row r="50" spans="1:3" x14ac:dyDescent="0.25">
      <c r="A50" t="str">
        <f t="shared" si="3"/>
        <v>Dec-2025</v>
      </c>
      <c r="B50" s="3">
        <f t="shared" si="3"/>
        <v>47820</v>
      </c>
      <c r="C50" s="3">
        <f t="shared" si="4"/>
        <v>59584.333333333336</v>
      </c>
    </row>
    <row r="52" spans="1:3" x14ac:dyDescent="0.25">
      <c r="A52" t="s">
        <v>81</v>
      </c>
      <c r="B52" s="3">
        <f>TREND(B39:B50,ROW(B39:B50)-38,13)</f>
        <v>65011.5</v>
      </c>
    </row>
  </sheetData>
  <mergeCells count="5">
    <mergeCell ref="A3:H3"/>
    <mergeCell ref="A19:H19"/>
    <mergeCell ref="A1:H1"/>
    <mergeCell ref="A37:H37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H62"/>
  <sheetViews>
    <sheetView zoomScaleNormal="100" workbookViewId="0">
      <selection activeCell="A17" sqref="A17"/>
    </sheetView>
  </sheetViews>
  <sheetFormatPr defaultColWidth="8.7109375" defaultRowHeight="15" x14ac:dyDescent="0.25"/>
  <cols>
    <col min="1" max="1" width="43.7109375" style="14" bestFit="1" customWidth="1"/>
    <col min="2" max="2" width="28.5703125" style="14" bestFit="1" customWidth="1"/>
    <col min="3" max="3" width="16.140625" style="14" bestFit="1" customWidth="1"/>
    <col min="4" max="4" width="32.85546875" style="14" bestFit="1" customWidth="1"/>
  </cols>
  <sheetData>
    <row r="1" spans="1:8" ht="15" customHeight="1" x14ac:dyDescent="0.25">
      <c r="A1" s="30" t="s">
        <v>82</v>
      </c>
      <c r="B1" s="17"/>
      <c r="C1" s="17"/>
      <c r="D1" s="17"/>
      <c r="E1" s="17"/>
      <c r="F1" s="17"/>
    </row>
    <row r="3" spans="1:8" ht="15" customHeight="1" x14ac:dyDescent="0.25">
      <c r="A3" s="29" t="s">
        <v>83</v>
      </c>
      <c r="B3" s="17"/>
      <c r="C3" s="17"/>
      <c r="D3" s="17"/>
      <c r="E3" s="17"/>
      <c r="F3" s="17"/>
    </row>
    <row r="4" spans="1:8" ht="15" customHeight="1" x14ac:dyDescent="0.25">
      <c r="A4" s="5" t="s">
        <v>84</v>
      </c>
      <c r="B4" s="5" t="s">
        <v>85</v>
      </c>
      <c r="C4" s="5" t="s">
        <v>86</v>
      </c>
    </row>
    <row r="5" spans="1:8" ht="15" customHeight="1" x14ac:dyDescent="0.25">
      <c r="A5" t="s">
        <v>87</v>
      </c>
      <c r="B5" s="3">
        <f ca="1">SUMIF(SalesData[[#All],[Product]],"Laptop Pro 15",Sales_Data!J2:J301)</f>
        <v>53624</v>
      </c>
      <c r="C5" s="4"/>
    </row>
    <row r="7" spans="1:8" ht="15" customHeight="1" x14ac:dyDescent="0.25">
      <c r="A7" s="29" t="s">
        <v>88</v>
      </c>
      <c r="B7" s="17"/>
      <c r="C7" s="17"/>
      <c r="D7" s="17"/>
      <c r="E7" s="17"/>
      <c r="F7" s="17"/>
    </row>
    <row r="8" spans="1:8" ht="15" customHeight="1" x14ac:dyDescent="0.25">
      <c r="A8" s="5" t="s">
        <v>84</v>
      </c>
      <c r="B8" s="5" t="s">
        <v>89</v>
      </c>
    </row>
    <row r="9" spans="1:8" ht="15" customHeight="1" x14ac:dyDescent="0.25">
      <c r="A9" t="s">
        <v>90</v>
      </c>
      <c r="B9" s="3">
        <f>INDEX(Product_Data!D2:D11,MATCH(A9,Product_Data!A2:A11,0))</f>
        <v>420</v>
      </c>
    </row>
    <row r="11" spans="1:8" ht="15" customHeight="1" x14ac:dyDescent="0.25">
      <c r="A11" s="29" t="s">
        <v>91</v>
      </c>
      <c r="B11" s="17"/>
      <c r="C11" s="17"/>
      <c r="D11" s="17"/>
      <c r="E11" s="17"/>
      <c r="F11" s="17"/>
    </row>
    <row r="12" spans="1:8" ht="15" customHeight="1" x14ac:dyDescent="0.25">
      <c r="A12" s="5" t="s">
        <v>92</v>
      </c>
      <c r="B12" s="5" t="s">
        <v>93</v>
      </c>
      <c r="C12" s="5" t="s">
        <v>17</v>
      </c>
      <c r="D12" s="5" t="s">
        <v>94</v>
      </c>
      <c r="E12" s="5" t="s">
        <v>95</v>
      </c>
    </row>
    <row r="13" spans="1:8" ht="15" customHeight="1" x14ac:dyDescent="0.25">
      <c r="A13" t="s">
        <v>96</v>
      </c>
      <c r="B13" t="s">
        <v>97</v>
      </c>
      <c r="C13" s="3" t="str">
        <f>IF(A1="","",IF(A1&lt;50,"Low",IF(A1&lt;100,"Medium","High")))</f>
        <v>High</v>
      </c>
      <c r="D13" t="str">
        <f>IF(A1="","",IF(A1&lt;50,"Low",IF(A1&lt;100,"Medium","High")))</f>
        <v>High</v>
      </c>
      <c r="E13" s="3" t="str">
        <f>IF(A1="","",IF(A1&lt;50,"Low",IF(A1&lt;100,"Medium","High")))</f>
        <v>High</v>
      </c>
    </row>
    <row r="15" spans="1:8" ht="15" customHeight="1" x14ac:dyDescent="0.25">
      <c r="A15" s="29" t="s">
        <v>98</v>
      </c>
      <c r="B15" s="17"/>
      <c r="C15" s="17"/>
      <c r="D15" s="29" t="s">
        <v>99</v>
      </c>
      <c r="E15" s="17"/>
      <c r="F15" s="17"/>
      <c r="G15" s="17"/>
      <c r="H15" s="17"/>
    </row>
    <row r="16" spans="1:8" ht="15" customHeight="1" x14ac:dyDescent="0.25">
      <c r="A16" s="5" t="s">
        <v>100</v>
      </c>
      <c r="D16" s="5" t="s">
        <v>101</v>
      </c>
    </row>
    <row r="17" spans="1:4" ht="15" customHeight="1" x14ac:dyDescent="0.25">
      <c r="A17" t="s">
        <v>456</v>
      </c>
      <c r="D17" t="s">
        <v>455</v>
      </c>
    </row>
    <row r="40" spans="1:6" ht="15" customHeight="1" x14ac:dyDescent="0.25">
      <c r="A40" s="32" t="s">
        <v>103</v>
      </c>
      <c r="B40" s="17"/>
      <c r="C40" s="17"/>
      <c r="D40" s="17"/>
      <c r="E40" s="17"/>
      <c r="F40" s="17"/>
    </row>
    <row r="41" spans="1:6" ht="15" customHeight="1" x14ac:dyDescent="0.25">
      <c r="A41" s="17"/>
      <c r="B41" s="17"/>
      <c r="C41" s="17"/>
      <c r="D41" s="17"/>
      <c r="E41" s="17"/>
      <c r="F41" s="17"/>
    </row>
    <row r="44" spans="1:6" ht="15.75" customHeight="1" x14ac:dyDescent="0.25">
      <c r="A44" s="22" t="s">
        <v>104</v>
      </c>
      <c r="B44" s="17"/>
      <c r="C44" s="17"/>
      <c r="D44" s="17"/>
      <c r="E44" s="17"/>
      <c r="F44" s="17"/>
    </row>
    <row r="45" spans="1:6" x14ac:dyDescent="0.25">
      <c r="A45" s="11" t="s">
        <v>105</v>
      </c>
      <c r="B45" s="11" t="s">
        <v>106</v>
      </c>
    </row>
    <row r="46" spans="1:6" x14ac:dyDescent="0.25">
      <c r="A46">
        <v>75000</v>
      </c>
      <c r="B46" t="str">
        <f>IF(A1="","",IF(A1&lt;50,"Low",IF(A1&lt;100,"Medium","High")))</f>
        <v>High</v>
      </c>
    </row>
    <row r="48" spans="1:6" ht="15.75" customHeight="1" x14ac:dyDescent="0.25">
      <c r="A48" s="22" t="s">
        <v>107</v>
      </c>
      <c r="B48" s="17"/>
      <c r="C48" s="17"/>
      <c r="D48" s="17"/>
      <c r="E48" s="17"/>
      <c r="F48" s="17"/>
    </row>
    <row r="49" spans="1:6" x14ac:dyDescent="0.25">
      <c r="A49" s="11" t="s">
        <v>108</v>
      </c>
      <c r="B49" s="11" t="s">
        <v>109</v>
      </c>
    </row>
    <row r="50" spans="1:6" x14ac:dyDescent="0.25">
      <c r="A50" t="s">
        <v>110</v>
      </c>
      <c r="B50" t="str">
        <f>IF(A1=1,"North",IF(A1=2,"South",IF(A1=3,"East",IF(A1=4,"West","Other"))))</f>
        <v>Other</v>
      </c>
    </row>
    <row r="52" spans="1:6" ht="15.75" customHeight="1" x14ac:dyDescent="0.25">
      <c r="A52" s="22" t="s">
        <v>111</v>
      </c>
      <c r="B52" s="17"/>
      <c r="C52" s="17"/>
      <c r="D52" s="17"/>
      <c r="E52" s="17"/>
      <c r="F52" s="17"/>
    </row>
    <row r="53" spans="1:6" x14ac:dyDescent="0.25">
      <c r="A53" s="11" t="s">
        <v>92</v>
      </c>
      <c r="B53" s="11" t="s">
        <v>93</v>
      </c>
      <c r="C53" s="11" t="s">
        <v>112</v>
      </c>
      <c r="D53" s="11" t="s">
        <v>113</v>
      </c>
    </row>
    <row r="54" spans="1:6" x14ac:dyDescent="0.25">
      <c r="A54" t="s">
        <v>96</v>
      </c>
      <c r="B54" t="s">
        <v>97</v>
      </c>
      <c r="C54" t="s">
        <v>90</v>
      </c>
      <c r="D54" t="s">
        <v>102</v>
      </c>
    </row>
    <row r="56" spans="1:6" ht="15.75" customHeight="1" x14ac:dyDescent="0.25">
      <c r="A56" s="22" t="s">
        <v>114</v>
      </c>
      <c r="B56" s="17"/>
      <c r="C56" s="17"/>
      <c r="D56" s="17"/>
      <c r="E56" s="17"/>
      <c r="F56" s="17"/>
    </row>
    <row r="57" spans="1:6" x14ac:dyDescent="0.25">
      <c r="A57" s="11" t="s">
        <v>115</v>
      </c>
    </row>
    <row r="58" spans="1:6" x14ac:dyDescent="0.25">
      <c r="A58" t="s">
        <v>102</v>
      </c>
    </row>
    <row r="61" spans="1:6" x14ac:dyDescent="0.25">
      <c r="A61" s="31" t="s">
        <v>116</v>
      </c>
      <c r="B61" s="17"/>
      <c r="C61" s="17"/>
      <c r="D61" s="17"/>
      <c r="E61" s="17"/>
      <c r="F61" s="17"/>
    </row>
    <row r="62" spans="1:6" x14ac:dyDescent="0.25">
      <c r="A62" s="17"/>
      <c r="B62" s="17"/>
      <c r="C62" s="17"/>
      <c r="D62" s="17"/>
      <c r="E62" s="17"/>
      <c r="F62" s="17"/>
    </row>
  </sheetData>
  <mergeCells count="12">
    <mergeCell ref="A1:F1"/>
    <mergeCell ref="A61:F62"/>
    <mergeCell ref="A56:F56"/>
    <mergeCell ref="A48:F48"/>
    <mergeCell ref="A3:F3"/>
    <mergeCell ref="A7:F7"/>
    <mergeCell ref="A15:C15"/>
    <mergeCell ref="A11:F11"/>
    <mergeCell ref="A52:F52"/>
    <mergeCell ref="D15:H15"/>
    <mergeCell ref="A40:F41"/>
    <mergeCell ref="A44:F4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1"/>
  <sheetViews>
    <sheetView workbookViewId="0">
      <selection activeCell="E4" sqref="E4"/>
    </sheetView>
  </sheetViews>
  <sheetFormatPr defaultRowHeight="15" x14ac:dyDescent="0.25"/>
  <cols>
    <col min="1" max="1" width="14" style="14" bestFit="1" customWidth="1"/>
    <col min="2" max="2" width="15.5703125" style="14" bestFit="1" customWidth="1"/>
  </cols>
  <sheetData>
    <row r="6" spans="1:2" x14ac:dyDescent="0.25">
      <c r="A6" s="12" t="s">
        <v>117</v>
      </c>
      <c r="B6" t="s">
        <v>118</v>
      </c>
    </row>
    <row r="7" spans="1:2" x14ac:dyDescent="0.25">
      <c r="A7" s="13" t="s">
        <v>119</v>
      </c>
      <c r="B7">
        <v>76580</v>
      </c>
    </row>
    <row r="8" spans="1:2" x14ac:dyDescent="0.25">
      <c r="A8" s="13" t="s">
        <v>96</v>
      </c>
      <c r="B8">
        <v>119725</v>
      </c>
    </row>
    <row r="9" spans="1:2" x14ac:dyDescent="0.25">
      <c r="A9" s="13" t="s">
        <v>120</v>
      </c>
      <c r="B9">
        <v>70790</v>
      </c>
    </row>
    <row r="10" spans="1:2" x14ac:dyDescent="0.25">
      <c r="A10" s="13" t="s">
        <v>121</v>
      </c>
      <c r="B10">
        <v>88670</v>
      </c>
    </row>
    <row r="11" spans="1:2" x14ac:dyDescent="0.25">
      <c r="A11" s="13" t="s">
        <v>122</v>
      </c>
      <c r="B11">
        <v>355765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301"/>
  <sheetViews>
    <sheetView zoomScaleNormal="100" workbookViewId="0">
      <pane ySplit="1" topLeftCell="A2" activePane="bottomLeft" state="frozen"/>
      <selection pane="bottomLeft" activeCell="N6" sqref="N6"/>
    </sheetView>
  </sheetViews>
  <sheetFormatPr defaultColWidth="8.7109375" defaultRowHeight="15" x14ac:dyDescent="0.25"/>
  <cols>
    <col min="1" max="1" width="13" style="14" customWidth="1"/>
    <col min="2" max="3" width="12" style="14" customWidth="1"/>
    <col min="4" max="4" width="14" style="14" customWidth="1"/>
    <col min="5" max="5" width="13" style="14" customWidth="1"/>
    <col min="6" max="6" width="16" style="14" customWidth="1"/>
    <col min="7" max="8" width="14" style="14" customWidth="1"/>
    <col min="9" max="9" width="15" style="14" customWidth="1"/>
    <col min="10" max="10" width="13" style="14" customWidth="1"/>
    <col min="11" max="11" width="12" style="14" customWidth="1"/>
    <col min="12" max="12" width="17" style="14" customWidth="1"/>
    <col min="14" max="14" width="18" style="14" customWidth="1"/>
  </cols>
  <sheetData>
    <row r="1" spans="1:12" ht="15" customHeight="1" x14ac:dyDescent="0.25">
      <c r="A1" s="2" t="s">
        <v>123</v>
      </c>
      <c r="B1" s="2" t="s">
        <v>124</v>
      </c>
      <c r="C1" s="2" t="s">
        <v>92</v>
      </c>
      <c r="D1" s="2" t="s">
        <v>93</v>
      </c>
      <c r="E1" s="2" t="s">
        <v>112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41</v>
      </c>
      <c r="K1" s="2" t="s">
        <v>42</v>
      </c>
      <c r="L1" s="2" t="s">
        <v>129</v>
      </c>
    </row>
    <row r="2" spans="1:12" ht="15" customHeight="1" x14ac:dyDescent="0.25">
      <c r="A2">
        <v>8001</v>
      </c>
      <c r="B2" t="s">
        <v>130</v>
      </c>
      <c r="C2" t="s">
        <v>96</v>
      </c>
      <c r="D2" t="s">
        <v>131</v>
      </c>
      <c r="E2" t="s">
        <v>132</v>
      </c>
      <c r="F2" t="s">
        <v>133</v>
      </c>
      <c r="G2" t="s">
        <v>134</v>
      </c>
      <c r="H2">
        <v>12</v>
      </c>
      <c r="I2">
        <v>190</v>
      </c>
      <c r="J2" s="3">
        <v>2280</v>
      </c>
      <c r="K2" s="3">
        <v>1080</v>
      </c>
      <c r="L2" s="3">
        <v>1200</v>
      </c>
    </row>
    <row r="3" spans="1:12" ht="15" customHeight="1" x14ac:dyDescent="0.25">
      <c r="A3">
        <v>8002</v>
      </c>
      <c r="B3" t="s">
        <v>135</v>
      </c>
      <c r="C3" t="s">
        <v>96</v>
      </c>
      <c r="D3" t="s">
        <v>136</v>
      </c>
      <c r="E3" t="s">
        <v>137</v>
      </c>
      <c r="F3" t="s">
        <v>138</v>
      </c>
      <c r="G3" t="s">
        <v>139</v>
      </c>
      <c r="H3">
        <v>13</v>
      </c>
      <c r="I3">
        <v>9</v>
      </c>
      <c r="J3" s="3">
        <v>117</v>
      </c>
      <c r="K3" s="3">
        <v>39</v>
      </c>
      <c r="L3" s="3">
        <v>78</v>
      </c>
    </row>
    <row r="4" spans="1:12" ht="15" customHeight="1" x14ac:dyDescent="0.25">
      <c r="A4">
        <v>8003</v>
      </c>
      <c r="B4" t="s">
        <v>140</v>
      </c>
      <c r="C4" t="s">
        <v>120</v>
      </c>
      <c r="D4" t="s">
        <v>97</v>
      </c>
      <c r="E4" t="s">
        <v>87</v>
      </c>
      <c r="F4" t="s">
        <v>141</v>
      </c>
      <c r="G4" t="s">
        <v>142</v>
      </c>
      <c r="H4">
        <v>6</v>
      </c>
      <c r="I4">
        <v>1200</v>
      </c>
      <c r="J4" s="3">
        <v>7200</v>
      </c>
      <c r="K4" s="3">
        <v>5100</v>
      </c>
      <c r="L4" s="3">
        <v>2100</v>
      </c>
    </row>
    <row r="5" spans="1:12" ht="15" customHeight="1" x14ac:dyDescent="0.25">
      <c r="A5">
        <v>8004</v>
      </c>
      <c r="B5" t="s">
        <v>143</v>
      </c>
      <c r="C5" t="s">
        <v>96</v>
      </c>
      <c r="D5" t="s">
        <v>131</v>
      </c>
      <c r="E5" t="s">
        <v>144</v>
      </c>
      <c r="F5" t="s">
        <v>145</v>
      </c>
      <c r="G5" t="s">
        <v>146</v>
      </c>
      <c r="H5">
        <v>15</v>
      </c>
      <c r="I5">
        <v>380</v>
      </c>
      <c r="J5" s="3">
        <v>5700</v>
      </c>
      <c r="K5" s="3">
        <v>2700</v>
      </c>
      <c r="L5" s="3">
        <v>3000</v>
      </c>
    </row>
    <row r="6" spans="1:12" ht="15" customHeight="1" x14ac:dyDescent="0.25">
      <c r="A6">
        <v>8005</v>
      </c>
      <c r="B6" t="s">
        <v>147</v>
      </c>
      <c r="C6" t="s">
        <v>121</v>
      </c>
      <c r="D6" t="s">
        <v>131</v>
      </c>
      <c r="E6" t="s">
        <v>148</v>
      </c>
      <c r="F6" t="s">
        <v>149</v>
      </c>
      <c r="G6" t="s">
        <v>134</v>
      </c>
      <c r="H6">
        <v>8</v>
      </c>
      <c r="I6">
        <v>160</v>
      </c>
      <c r="J6" s="3">
        <v>1280</v>
      </c>
      <c r="K6" s="3">
        <v>560</v>
      </c>
      <c r="L6" s="3">
        <v>720</v>
      </c>
    </row>
    <row r="7" spans="1:12" ht="15" customHeight="1" x14ac:dyDescent="0.25">
      <c r="A7">
        <v>8006</v>
      </c>
      <c r="B7" t="s">
        <v>150</v>
      </c>
      <c r="C7" t="s">
        <v>120</v>
      </c>
      <c r="D7" t="s">
        <v>97</v>
      </c>
      <c r="E7" t="s">
        <v>151</v>
      </c>
      <c r="F7" t="s">
        <v>152</v>
      </c>
      <c r="G7" t="s">
        <v>142</v>
      </c>
      <c r="H7">
        <v>1</v>
      </c>
      <c r="I7">
        <v>75</v>
      </c>
      <c r="J7" s="3">
        <v>75</v>
      </c>
      <c r="K7" s="3">
        <v>30</v>
      </c>
      <c r="L7" s="3">
        <v>45</v>
      </c>
    </row>
    <row r="8" spans="1:12" ht="15" customHeight="1" x14ac:dyDescent="0.25">
      <c r="A8">
        <v>8007</v>
      </c>
      <c r="B8" t="s">
        <v>153</v>
      </c>
      <c r="C8" t="s">
        <v>120</v>
      </c>
      <c r="D8" t="s">
        <v>136</v>
      </c>
      <c r="E8" t="s">
        <v>137</v>
      </c>
      <c r="F8" t="s">
        <v>149</v>
      </c>
      <c r="G8" t="s">
        <v>146</v>
      </c>
      <c r="H8">
        <v>3</v>
      </c>
      <c r="I8">
        <v>9</v>
      </c>
      <c r="J8" s="3">
        <v>27</v>
      </c>
      <c r="K8" s="3">
        <v>9</v>
      </c>
      <c r="L8" s="3">
        <v>18</v>
      </c>
    </row>
    <row r="9" spans="1:12" ht="15" customHeight="1" x14ac:dyDescent="0.25">
      <c r="A9">
        <v>8008</v>
      </c>
      <c r="B9" t="s">
        <v>154</v>
      </c>
      <c r="C9" t="s">
        <v>121</v>
      </c>
      <c r="D9" t="s">
        <v>131</v>
      </c>
      <c r="E9" t="s">
        <v>155</v>
      </c>
      <c r="F9" t="s">
        <v>145</v>
      </c>
      <c r="G9" t="s">
        <v>134</v>
      </c>
      <c r="H9">
        <v>3</v>
      </c>
      <c r="I9">
        <v>140</v>
      </c>
      <c r="J9" s="3">
        <v>420</v>
      </c>
      <c r="K9" s="3">
        <v>195</v>
      </c>
      <c r="L9" s="3">
        <v>225</v>
      </c>
    </row>
    <row r="10" spans="1:12" ht="15" customHeight="1" x14ac:dyDescent="0.25">
      <c r="A10">
        <v>8009</v>
      </c>
      <c r="B10" t="s">
        <v>156</v>
      </c>
      <c r="C10" t="s">
        <v>96</v>
      </c>
      <c r="D10" t="s">
        <v>97</v>
      </c>
      <c r="E10" t="s">
        <v>157</v>
      </c>
      <c r="F10" t="s">
        <v>158</v>
      </c>
      <c r="G10" t="s">
        <v>142</v>
      </c>
      <c r="H10">
        <v>13</v>
      </c>
      <c r="I10">
        <v>25</v>
      </c>
      <c r="J10" s="3">
        <v>325</v>
      </c>
      <c r="K10" s="3">
        <v>104</v>
      </c>
      <c r="L10" s="3">
        <v>221</v>
      </c>
    </row>
    <row r="11" spans="1:12" ht="15" customHeight="1" x14ac:dyDescent="0.25">
      <c r="A11">
        <v>8010</v>
      </c>
      <c r="B11" t="s">
        <v>159</v>
      </c>
      <c r="C11" t="s">
        <v>120</v>
      </c>
      <c r="D11" t="s">
        <v>136</v>
      </c>
      <c r="E11" t="s">
        <v>160</v>
      </c>
      <c r="F11" t="s">
        <v>161</v>
      </c>
      <c r="G11" t="s">
        <v>139</v>
      </c>
      <c r="H11">
        <v>8</v>
      </c>
      <c r="I11">
        <v>15</v>
      </c>
      <c r="J11" s="3">
        <v>120</v>
      </c>
      <c r="K11" s="3">
        <v>40</v>
      </c>
      <c r="L11" s="3">
        <v>80</v>
      </c>
    </row>
    <row r="12" spans="1:12" ht="15" customHeight="1" x14ac:dyDescent="0.25">
      <c r="A12">
        <v>8011</v>
      </c>
      <c r="B12" t="s">
        <v>162</v>
      </c>
      <c r="C12" t="s">
        <v>119</v>
      </c>
      <c r="D12" t="s">
        <v>131</v>
      </c>
      <c r="E12" t="s">
        <v>155</v>
      </c>
      <c r="F12" t="s">
        <v>163</v>
      </c>
      <c r="G12" t="s">
        <v>164</v>
      </c>
      <c r="H12">
        <v>15</v>
      </c>
      <c r="I12">
        <v>140</v>
      </c>
      <c r="J12" s="3">
        <v>2100</v>
      </c>
      <c r="K12" s="3">
        <v>975</v>
      </c>
      <c r="L12" s="3">
        <v>1125</v>
      </c>
    </row>
    <row r="13" spans="1:12" ht="15" customHeight="1" x14ac:dyDescent="0.25">
      <c r="A13">
        <v>8012</v>
      </c>
      <c r="B13" t="s">
        <v>165</v>
      </c>
      <c r="C13" t="s">
        <v>119</v>
      </c>
      <c r="D13" t="s">
        <v>136</v>
      </c>
      <c r="E13" t="s">
        <v>137</v>
      </c>
      <c r="F13" t="s">
        <v>166</v>
      </c>
      <c r="G13" t="s">
        <v>134</v>
      </c>
      <c r="H13">
        <v>9</v>
      </c>
      <c r="I13">
        <v>9</v>
      </c>
      <c r="J13" s="3">
        <v>81</v>
      </c>
      <c r="K13" s="3">
        <v>27</v>
      </c>
      <c r="L13" s="3">
        <v>54</v>
      </c>
    </row>
    <row r="14" spans="1:12" ht="15" customHeight="1" x14ac:dyDescent="0.25">
      <c r="A14">
        <v>8013</v>
      </c>
      <c r="B14" t="s">
        <v>167</v>
      </c>
      <c r="C14" t="s">
        <v>121</v>
      </c>
      <c r="D14" t="s">
        <v>97</v>
      </c>
      <c r="E14" t="s">
        <v>90</v>
      </c>
      <c r="F14" t="s">
        <v>168</v>
      </c>
      <c r="G14" t="s">
        <v>134</v>
      </c>
      <c r="H14">
        <v>1</v>
      </c>
      <c r="I14">
        <v>420</v>
      </c>
      <c r="J14" s="3">
        <v>420</v>
      </c>
      <c r="K14" s="3">
        <v>220</v>
      </c>
      <c r="L14" s="3">
        <v>200</v>
      </c>
    </row>
    <row r="15" spans="1:12" ht="15" customHeight="1" x14ac:dyDescent="0.25">
      <c r="A15">
        <v>8014</v>
      </c>
      <c r="B15" t="s">
        <v>169</v>
      </c>
      <c r="C15" t="s">
        <v>120</v>
      </c>
      <c r="D15" t="s">
        <v>136</v>
      </c>
      <c r="E15" t="s">
        <v>137</v>
      </c>
      <c r="F15" t="s">
        <v>170</v>
      </c>
      <c r="G15" t="s">
        <v>139</v>
      </c>
      <c r="H15">
        <v>2</v>
      </c>
      <c r="I15">
        <v>9</v>
      </c>
      <c r="J15" s="3">
        <v>18</v>
      </c>
      <c r="K15" s="3">
        <v>6</v>
      </c>
      <c r="L15" s="3">
        <v>12</v>
      </c>
    </row>
    <row r="16" spans="1:12" ht="15" customHeight="1" x14ac:dyDescent="0.25">
      <c r="A16">
        <v>8015</v>
      </c>
      <c r="B16" t="s">
        <v>171</v>
      </c>
      <c r="C16" t="s">
        <v>119</v>
      </c>
      <c r="D16" t="s">
        <v>136</v>
      </c>
      <c r="E16" t="s">
        <v>160</v>
      </c>
      <c r="F16" t="s">
        <v>138</v>
      </c>
      <c r="G16" t="s">
        <v>172</v>
      </c>
      <c r="H16">
        <v>10</v>
      </c>
      <c r="I16">
        <v>15</v>
      </c>
      <c r="J16" s="3">
        <v>150</v>
      </c>
      <c r="K16" s="3">
        <v>50</v>
      </c>
      <c r="L16" s="3">
        <v>100</v>
      </c>
    </row>
    <row r="17" spans="1:12" ht="15" customHeight="1" x14ac:dyDescent="0.25">
      <c r="A17">
        <v>8016</v>
      </c>
      <c r="B17" t="s">
        <v>173</v>
      </c>
      <c r="C17" t="s">
        <v>119</v>
      </c>
      <c r="D17" t="s">
        <v>97</v>
      </c>
      <c r="E17" t="s">
        <v>151</v>
      </c>
      <c r="F17" t="s">
        <v>174</v>
      </c>
      <c r="G17" t="s">
        <v>139</v>
      </c>
      <c r="H17">
        <v>6</v>
      </c>
      <c r="I17">
        <v>75</v>
      </c>
      <c r="J17" s="3">
        <v>450</v>
      </c>
      <c r="K17" s="3">
        <v>180</v>
      </c>
      <c r="L17" s="3">
        <v>270</v>
      </c>
    </row>
    <row r="18" spans="1:12" ht="15" customHeight="1" x14ac:dyDescent="0.25">
      <c r="A18">
        <v>8017</v>
      </c>
      <c r="B18" t="s">
        <v>175</v>
      </c>
      <c r="C18" t="s">
        <v>120</v>
      </c>
      <c r="D18" t="s">
        <v>131</v>
      </c>
      <c r="E18" t="s">
        <v>155</v>
      </c>
      <c r="F18" t="s">
        <v>141</v>
      </c>
      <c r="G18" t="s">
        <v>176</v>
      </c>
      <c r="H18">
        <v>2</v>
      </c>
      <c r="I18">
        <v>140</v>
      </c>
      <c r="J18" s="3">
        <v>280</v>
      </c>
      <c r="K18" s="3">
        <v>130</v>
      </c>
      <c r="L18" s="3">
        <v>150</v>
      </c>
    </row>
    <row r="19" spans="1:12" ht="15" customHeight="1" x14ac:dyDescent="0.25">
      <c r="A19">
        <v>8018</v>
      </c>
      <c r="B19" t="s">
        <v>177</v>
      </c>
      <c r="C19" t="s">
        <v>96</v>
      </c>
      <c r="D19" t="s">
        <v>97</v>
      </c>
      <c r="E19" t="s">
        <v>87</v>
      </c>
      <c r="F19" t="s">
        <v>178</v>
      </c>
      <c r="G19" t="s">
        <v>146</v>
      </c>
      <c r="H19">
        <v>11</v>
      </c>
      <c r="I19">
        <v>1200</v>
      </c>
      <c r="J19" s="3">
        <v>13200</v>
      </c>
      <c r="K19" s="3">
        <v>9350</v>
      </c>
      <c r="L19" s="3">
        <v>3850</v>
      </c>
    </row>
    <row r="20" spans="1:12" ht="15" customHeight="1" x14ac:dyDescent="0.25">
      <c r="A20">
        <v>8019</v>
      </c>
      <c r="B20" t="s">
        <v>179</v>
      </c>
      <c r="C20" t="s">
        <v>96</v>
      </c>
      <c r="D20" t="s">
        <v>131</v>
      </c>
      <c r="E20" t="s">
        <v>148</v>
      </c>
      <c r="F20" t="s">
        <v>180</v>
      </c>
      <c r="G20" t="s">
        <v>146</v>
      </c>
      <c r="H20">
        <v>1</v>
      </c>
      <c r="I20">
        <v>160</v>
      </c>
      <c r="J20" s="3">
        <v>160</v>
      </c>
      <c r="K20" s="3">
        <v>70</v>
      </c>
      <c r="L20" s="3">
        <v>90</v>
      </c>
    </row>
    <row r="21" spans="1:12" ht="15" customHeight="1" x14ac:dyDescent="0.25">
      <c r="A21">
        <v>8020</v>
      </c>
      <c r="B21" t="s">
        <v>181</v>
      </c>
      <c r="C21" t="s">
        <v>96</v>
      </c>
      <c r="D21" t="s">
        <v>131</v>
      </c>
      <c r="E21" t="s">
        <v>144</v>
      </c>
      <c r="F21" t="s">
        <v>182</v>
      </c>
      <c r="G21" t="s">
        <v>134</v>
      </c>
      <c r="H21">
        <v>3</v>
      </c>
      <c r="I21">
        <v>380</v>
      </c>
      <c r="J21" s="3">
        <v>1140</v>
      </c>
      <c r="K21" s="3">
        <v>540</v>
      </c>
      <c r="L21" s="3">
        <v>600</v>
      </c>
    </row>
    <row r="22" spans="1:12" ht="15" customHeight="1" x14ac:dyDescent="0.25">
      <c r="A22">
        <v>8021</v>
      </c>
      <c r="B22" t="s">
        <v>183</v>
      </c>
      <c r="C22" t="s">
        <v>121</v>
      </c>
      <c r="D22" t="s">
        <v>136</v>
      </c>
      <c r="E22" t="s">
        <v>137</v>
      </c>
      <c r="F22" t="s">
        <v>184</v>
      </c>
      <c r="G22" t="s">
        <v>164</v>
      </c>
      <c r="H22">
        <v>1</v>
      </c>
      <c r="I22">
        <v>9</v>
      </c>
      <c r="J22" s="3">
        <v>9</v>
      </c>
      <c r="K22" s="3">
        <v>3</v>
      </c>
      <c r="L22" s="3">
        <v>6</v>
      </c>
    </row>
    <row r="23" spans="1:12" ht="15" customHeight="1" x14ac:dyDescent="0.25">
      <c r="A23">
        <v>8022</v>
      </c>
      <c r="B23" t="s">
        <v>185</v>
      </c>
      <c r="C23" t="s">
        <v>119</v>
      </c>
      <c r="D23" t="s">
        <v>97</v>
      </c>
      <c r="E23" t="s">
        <v>87</v>
      </c>
      <c r="F23" t="s">
        <v>168</v>
      </c>
      <c r="G23" t="s">
        <v>146</v>
      </c>
      <c r="H23">
        <v>7</v>
      </c>
      <c r="I23">
        <v>1200</v>
      </c>
      <c r="J23" s="3">
        <v>8400</v>
      </c>
      <c r="K23" s="3">
        <v>5950</v>
      </c>
      <c r="L23" s="3">
        <v>2450</v>
      </c>
    </row>
    <row r="24" spans="1:12" ht="15" customHeight="1" x14ac:dyDescent="0.25">
      <c r="A24">
        <v>8023</v>
      </c>
      <c r="B24" t="s">
        <v>186</v>
      </c>
      <c r="C24" t="s">
        <v>120</v>
      </c>
      <c r="D24" t="s">
        <v>97</v>
      </c>
      <c r="E24" t="s">
        <v>151</v>
      </c>
      <c r="F24" t="s">
        <v>187</v>
      </c>
      <c r="G24" t="s">
        <v>134</v>
      </c>
      <c r="H24">
        <v>11</v>
      </c>
      <c r="I24">
        <v>75</v>
      </c>
      <c r="J24" s="3">
        <v>825</v>
      </c>
      <c r="K24" s="3">
        <v>330</v>
      </c>
      <c r="L24" s="3">
        <v>495</v>
      </c>
    </row>
    <row r="25" spans="1:12" ht="15" customHeight="1" x14ac:dyDescent="0.25">
      <c r="A25">
        <v>8024</v>
      </c>
      <c r="B25" t="s">
        <v>188</v>
      </c>
      <c r="C25" t="s">
        <v>120</v>
      </c>
      <c r="D25" t="s">
        <v>97</v>
      </c>
      <c r="E25" t="s">
        <v>90</v>
      </c>
      <c r="F25" t="s">
        <v>189</v>
      </c>
      <c r="G25" t="s">
        <v>134</v>
      </c>
      <c r="H25">
        <v>3</v>
      </c>
      <c r="I25">
        <v>420</v>
      </c>
      <c r="J25" s="3">
        <v>1260</v>
      </c>
      <c r="K25" s="3">
        <v>660</v>
      </c>
      <c r="L25" s="3">
        <v>600</v>
      </c>
    </row>
    <row r="26" spans="1:12" ht="15" customHeight="1" x14ac:dyDescent="0.25">
      <c r="A26">
        <v>8025</v>
      </c>
      <c r="B26" t="s">
        <v>190</v>
      </c>
      <c r="C26" t="s">
        <v>120</v>
      </c>
      <c r="D26" t="s">
        <v>131</v>
      </c>
      <c r="E26" t="s">
        <v>144</v>
      </c>
      <c r="F26" t="s">
        <v>187</v>
      </c>
      <c r="G26" t="s">
        <v>176</v>
      </c>
      <c r="H26">
        <v>15</v>
      </c>
      <c r="I26">
        <v>380</v>
      </c>
      <c r="J26" s="3">
        <v>5700</v>
      </c>
      <c r="K26" s="3">
        <v>2700</v>
      </c>
      <c r="L26" s="3">
        <v>3000</v>
      </c>
    </row>
    <row r="27" spans="1:12" ht="15" customHeight="1" x14ac:dyDescent="0.25">
      <c r="A27">
        <v>8026</v>
      </c>
      <c r="B27" t="s">
        <v>191</v>
      </c>
      <c r="C27" t="s">
        <v>121</v>
      </c>
      <c r="D27" t="s">
        <v>136</v>
      </c>
      <c r="E27" t="s">
        <v>137</v>
      </c>
      <c r="F27" t="s">
        <v>174</v>
      </c>
      <c r="G27" t="s">
        <v>172</v>
      </c>
      <c r="H27">
        <v>10</v>
      </c>
      <c r="I27">
        <v>9</v>
      </c>
      <c r="J27" s="3">
        <v>90</v>
      </c>
      <c r="K27" s="3">
        <v>30</v>
      </c>
      <c r="L27" s="3">
        <v>60</v>
      </c>
    </row>
    <row r="28" spans="1:12" ht="15" customHeight="1" x14ac:dyDescent="0.25">
      <c r="A28">
        <v>8027</v>
      </c>
      <c r="B28" t="s">
        <v>192</v>
      </c>
      <c r="C28" t="s">
        <v>119</v>
      </c>
      <c r="D28" t="s">
        <v>131</v>
      </c>
      <c r="E28" t="s">
        <v>155</v>
      </c>
      <c r="F28" t="s">
        <v>161</v>
      </c>
      <c r="G28" t="s">
        <v>172</v>
      </c>
      <c r="H28">
        <v>13</v>
      </c>
      <c r="I28">
        <v>140</v>
      </c>
      <c r="J28" s="3">
        <v>1820</v>
      </c>
      <c r="K28" s="3">
        <v>845</v>
      </c>
      <c r="L28" s="3">
        <v>975</v>
      </c>
    </row>
    <row r="29" spans="1:12" ht="15" customHeight="1" x14ac:dyDescent="0.25">
      <c r="A29">
        <v>8028</v>
      </c>
      <c r="B29" t="s">
        <v>193</v>
      </c>
      <c r="C29" t="s">
        <v>120</v>
      </c>
      <c r="D29" t="s">
        <v>97</v>
      </c>
      <c r="E29" t="s">
        <v>90</v>
      </c>
      <c r="F29" t="s">
        <v>178</v>
      </c>
      <c r="G29" t="s">
        <v>146</v>
      </c>
      <c r="H29">
        <v>10</v>
      </c>
      <c r="I29">
        <v>420</v>
      </c>
      <c r="J29" s="3">
        <v>4200</v>
      </c>
      <c r="K29" s="3">
        <v>2200</v>
      </c>
      <c r="L29" s="3">
        <v>2000</v>
      </c>
    </row>
    <row r="30" spans="1:12" ht="15" customHeight="1" x14ac:dyDescent="0.25">
      <c r="A30">
        <v>8029</v>
      </c>
      <c r="B30" t="s">
        <v>194</v>
      </c>
      <c r="C30" t="s">
        <v>119</v>
      </c>
      <c r="D30" t="s">
        <v>131</v>
      </c>
      <c r="E30" t="s">
        <v>132</v>
      </c>
      <c r="F30" t="s">
        <v>195</v>
      </c>
      <c r="G30" t="s">
        <v>172</v>
      </c>
      <c r="H30">
        <v>13</v>
      </c>
      <c r="I30">
        <v>190</v>
      </c>
      <c r="J30" s="3">
        <v>2470</v>
      </c>
      <c r="K30" s="3">
        <v>1170</v>
      </c>
      <c r="L30" s="3">
        <v>1300</v>
      </c>
    </row>
    <row r="31" spans="1:12" ht="15" customHeight="1" x14ac:dyDescent="0.25">
      <c r="A31">
        <v>8030</v>
      </c>
      <c r="B31" t="s">
        <v>196</v>
      </c>
      <c r="C31" t="s">
        <v>120</v>
      </c>
      <c r="D31" t="s">
        <v>131</v>
      </c>
      <c r="E31" t="s">
        <v>132</v>
      </c>
      <c r="F31" t="s">
        <v>197</v>
      </c>
      <c r="G31" t="s">
        <v>134</v>
      </c>
      <c r="H31">
        <v>2</v>
      </c>
      <c r="I31">
        <v>190</v>
      </c>
      <c r="J31" s="3">
        <v>380</v>
      </c>
      <c r="K31" s="3">
        <v>180</v>
      </c>
      <c r="L31" s="3">
        <v>200</v>
      </c>
    </row>
    <row r="32" spans="1:12" ht="15" customHeight="1" x14ac:dyDescent="0.25">
      <c r="A32">
        <v>8031</v>
      </c>
      <c r="B32" t="s">
        <v>198</v>
      </c>
      <c r="C32" t="s">
        <v>96</v>
      </c>
      <c r="D32" t="s">
        <v>97</v>
      </c>
      <c r="E32" t="s">
        <v>157</v>
      </c>
      <c r="F32" t="s">
        <v>133</v>
      </c>
      <c r="G32" t="s">
        <v>172</v>
      </c>
      <c r="H32">
        <v>14</v>
      </c>
      <c r="I32">
        <v>25</v>
      </c>
      <c r="J32" s="3">
        <v>350</v>
      </c>
      <c r="K32" s="3">
        <v>112</v>
      </c>
      <c r="L32" s="3">
        <v>238</v>
      </c>
    </row>
    <row r="33" spans="1:12" ht="15" customHeight="1" x14ac:dyDescent="0.25">
      <c r="A33">
        <v>8032</v>
      </c>
      <c r="B33" t="s">
        <v>199</v>
      </c>
      <c r="C33" t="s">
        <v>119</v>
      </c>
      <c r="D33" t="s">
        <v>136</v>
      </c>
      <c r="E33" t="s">
        <v>160</v>
      </c>
      <c r="F33" t="s">
        <v>180</v>
      </c>
      <c r="G33" t="s">
        <v>139</v>
      </c>
      <c r="H33">
        <v>6</v>
      </c>
      <c r="I33">
        <v>15</v>
      </c>
      <c r="J33" s="3">
        <v>90</v>
      </c>
      <c r="K33" s="3">
        <v>30</v>
      </c>
      <c r="L33" s="3">
        <v>60</v>
      </c>
    </row>
    <row r="34" spans="1:12" ht="15" customHeight="1" x14ac:dyDescent="0.25">
      <c r="A34">
        <v>8033</v>
      </c>
      <c r="B34" t="s">
        <v>200</v>
      </c>
      <c r="C34" t="s">
        <v>96</v>
      </c>
      <c r="D34" t="s">
        <v>131</v>
      </c>
      <c r="E34" t="s">
        <v>155</v>
      </c>
      <c r="F34" t="s">
        <v>201</v>
      </c>
      <c r="G34" t="s">
        <v>202</v>
      </c>
      <c r="H34">
        <v>3</v>
      </c>
      <c r="I34">
        <v>140</v>
      </c>
      <c r="J34" s="3">
        <v>420</v>
      </c>
      <c r="K34" s="3">
        <v>195</v>
      </c>
      <c r="L34" s="3">
        <v>225</v>
      </c>
    </row>
    <row r="35" spans="1:12" ht="15" customHeight="1" x14ac:dyDescent="0.25">
      <c r="A35">
        <v>8034</v>
      </c>
      <c r="B35" t="s">
        <v>203</v>
      </c>
      <c r="C35" t="s">
        <v>120</v>
      </c>
      <c r="D35" t="s">
        <v>97</v>
      </c>
      <c r="E35" t="s">
        <v>87</v>
      </c>
      <c r="F35" t="s">
        <v>182</v>
      </c>
      <c r="G35" t="s">
        <v>146</v>
      </c>
      <c r="H35">
        <v>7</v>
      </c>
      <c r="I35">
        <v>1200</v>
      </c>
      <c r="J35" s="3">
        <v>8400</v>
      </c>
      <c r="K35" s="3">
        <v>5950</v>
      </c>
      <c r="L35" s="3">
        <v>2450</v>
      </c>
    </row>
    <row r="36" spans="1:12" ht="15" customHeight="1" x14ac:dyDescent="0.25">
      <c r="A36">
        <v>8035</v>
      </c>
      <c r="B36" t="s">
        <v>204</v>
      </c>
      <c r="C36" t="s">
        <v>96</v>
      </c>
      <c r="D36" t="s">
        <v>131</v>
      </c>
      <c r="E36" t="s">
        <v>144</v>
      </c>
      <c r="F36" t="s">
        <v>170</v>
      </c>
      <c r="G36" t="s">
        <v>176</v>
      </c>
      <c r="H36">
        <v>5</v>
      </c>
      <c r="I36">
        <v>380</v>
      </c>
      <c r="J36" s="3">
        <v>1900</v>
      </c>
      <c r="K36" s="3">
        <v>900</v>
      </c>
      <c r="L36" s="3">
        <v>1000</v>
      </c>
    </row>
    <row r="37" spans="1:12" ht="15" customHeight="1" x14ac:dyDescent="0.25">
      <c r="A37">
        <v>8036</v>
      </c>
      <c r="B37" t="s">
        <v>150</v>
      </c>
      <c r="C37" t="s">
        <v>120</v>
      </c>
      <c r="D37" t="s">
        <v>131</v>
      </c>
      <c r="E37" t="s">
        <v>144</v>
      </c>
      <c r="F37" t="s">
        <v>174</v>
      </c>
      <c r="G37" t="s">
        <v>164</v>
      </c>
      <c r="H37">
        <v>7</v>
      </c>
      <c r="I37">
        <v>380</v>
      </c>
      <c r="J37" s="3">
        <v>2660</v>
      </c>
      <c r="K37" s="3">
        <v>1260</v>
      </c>
      <c r="L37" s="3">
        <v>1400</v>
      </c>
    </row>
    <row r="38" spans="1:12" ht="15" customHeight="1" x14ac:dyDescent="0.25">
      <c r="A38">
        <v>8037</v>
      </c>
      <c r="B38" t="s">
        <v>205</v>
      </c>
      <c r="C38" t="s">
        <v>121</v>
      </c>
      <c r="D38" t="s">
        <v>131</v>
      </c>
      <c r="E38" t="s">
        <v>148</v>
      </c>
      <c r="F38" t="s">
        <v>170</v>
      </c>
      <c r="G38" t="s">
        <v>202</v>
      </c>
      <c r="H38">
        <v>2</v>
      </c>
      <c r="I38">
        <v>160</v>
      </c>
      <c r="J38" s="3">
        <v>320</v>
      </c>
      <c r="K38" s="3">
        <v>140</v>
      </c>
      <c r="L38" s="3">
        <v>180</v>
      </c>
    </row>
    <row r="39" spans="1:12" ht="15" customHeight="1" x14ac:dyDescent="0.25">
      <c r="A39">
        <v>8038</v>
      </c>
      <c r="B39" t="s">
        <v>206</v>
      </c>
      <c r="C39" t="s">
        <v>119</v>
      </c>
      <c r="D39" t="s">
        <v>136</v>
      </c>
      <c r="E39" t="s">
        <v>160</v>
      </c>
      <c r="F39" t="s">
        <v>207</v>
      </c>
      <c r="G39" t="s">
        <v>139</v>
      </c>
      <c r="H39">
        <v>5</v>
      </c>
      <c r="I39">
        <v>15</v>
      </c>
      <c r="J39" s="3">
        <v>75</v>
      </c>
      <c r="K39" s="3">
        <v>25</v>
      </c>
      <c r="L39" s="3">
        <v>50</v>
      </c>
    </row>
    <row r="40" spans="1:12" ht="15" customHeight="1" x14ac:dyDescent="0.25">
      <c r="A40">
        <v>8039</v>
      </c>
      <c r="B40" t="s">
        <v>193</v>
      </c>
      <c r="C40" t="s">
        <v>120</v>
      </c>
      <c r="D40" t="s">
        <v>131</v>
      </c>
      <c r="E40" t="s">
        <v>148</v>
      </c>
      <c r="F40" t="s">
        <v>201</v>
      </c>
      <c r="G40" t="s">
        <v>176</v>
      </c>
      <c r="H40">
        <v>14</v>
      </c>
      <c r="I40">
        <v>160</v>
      </c>
      <c r="J40" s="3">
        <v>2240</v>
      </c>
      <c r="K40" s="3">
        <v>980</v>
      </c>
      <c r="L40" s="3">
        <v>1260</v>
      </c>
    </row>
    <row r="41" spans="1:12" ht="15" customHeight="1" x14ac:dyDescent="0.25">
      <c r="A41">
        <v>8040</v>
      </c>
      <c r="B41" t="s">
        <v>208</v>
      </c>
      <c r="C41" t="s">
        <v>120</v>
      </c>
      <c r="D41" t="s">
        <v>97</v>
      </c>
      <c r="E41" t="s">
        <v>151</v>
      </c>
      <c r="F41" t="s">
        <v>209</v>
      </c>
      <c r="G41" t="s">
        <v>142</v>
      </c>
      <c r="H41">
        <v>11</v>
      </c>
      <c r="I41">
        <v>75</v>
      </c>
      <c r="J41" s="3">
        <v>825</v>
      </c>
      <c r="K41" s="3">
        <v>330</v>
      </c>
      <c r="L41" s="3">
        <v>495</v>
      </c>
    </row>
    <row r="42" spans="1:12" ht="15" customHeight="1" x14ac:dyDescent="0.25">
      <c r="A42">
        <v>8041</v>
      </c>
      <c r="B42" t="s">
        <v>210</v>
      </c>
      <c r="C42" t="s">
        <v>120</v>
      </c>
      <c r="D42" t="s">
        <v>136</v>
      </c>
      <c r="E42" t="s">
        <v>137</v>
      </c>
      <c r="F42" t="s">
        <v>197</v>
      </c>
      <c r="G42" t="s">
        <v>134</v>
      </c>
      <c r="H42">
        <v>9</v>
      </c>
      <c r="I42">
        <v>9</v>
      </c>
      <c r="J42" s="3">
        <v>81</v>
      </c>
      <c r="K42" s="3">
        <v>27</v>
      </c>
      <c r="L42" s="3">
        <v>54</v>
      </c>
    </row>
    <row r="43" spans="1:12" ht="15" customHeight="1" x14ac:dyDescent="0.25">
      <c r="A43">
        <v>8042</v>
      </c>
      <c r="B43" t="s">
        <v>211</v>
      </c>
      <c r="C43" t="s">
        <v>121</v>
      </c>
      <c r="D43" t="s">
        <v>136</v>
      </c>
      <c r="E43" t="s">
        <v>160</v>
      </c>
      <c r="F43" t="s">
        <v>212</v>
      </c>
      <c r="G43" t="s">
        <v>142</v>
      </c>
      <c r="H43">
        <v>9</v>
      </c>
      <c r="I43">
        <v>15</v>
      </c>
      <c r="J43" s="3">
        <v>135</v>
      </c>
      <c r="K43" s="3">
        <v>45</v>
      </c>
      <c r="L43" s="3">
        <v>90</v>
      </c>
    </row>
    <row r="44" spans="1:12" ht="15" customHeight="1" x14ac:dyDescent="0.25">
      <c r="A44">
        <v>8043</v>
      </c>
      <c r="B44" t="s">
        <v>213</v>
      </c>
      <c r="C44" t="s">
        <v>96</v>
      </c>
      <c r="D44" t="s">
        <v>97</v>
      </c>
      <c r="E44" t="s">
        <v>87</v>
      </c>
      <c r="F44" t="s">
        <v>141</v>
      </c>
      <c r="G44" t="s">
        <v>202</v>
      </c>
      <c r="H44">
        <v>1</v>
      </c>
      <c r="I44">
        <v>1200</v>
      </c>
      <c r="J44" s="3">
        <v>1200</v>
      </c>
      <c r="K44" s="3">
        <v>850</v>
      </c>
      <c r="L44" s="3">
        <v>350</v>
      </c>
    </row>
    <row r="45" spans="1:12" ht="15" customHeight="1" x14ac:dyDescent="0.25">
      <c r="A45">
        <v>8044</v>
      </c>
      <c r="B45" t="s">
        <v>214</v>
      </c>
      <c r="C45" t="s">
        <v>96</v>
      </c>
      <c r="D45" t="s">
        <v>97</v>
      </c>
      <c r="E45" t="s">
        <v>90</v>
      </c>
      <c r="F45" t="s">
        <v>212</v>
      </c>
      <c r="G45" t="s">
        <v>146</v>
      </c>
      <c r="H45">
        <v>12</v>
      </c>
      <c r="I45">
        <v>420</v>
      </c>
      <c r="J45" s="3">
        <v>5040</v>
      </c>
      <c r="K45" s="3">
        <v>2640</v>
      </c>
      <c r="L45" s="3">
        <v>2400</v>
      </c>
    </row>
    <row r="46" spans="1:12" ht="15" customHeight="1" x14ac:dyDescent="0.25">
      <c r="A46">
        <v>8045</v>
      </c>
      <c r="B46" t="s">
        <v>165</v>
      </c>
      <c r="C46" t="s">
        <v>121</v>
      </c>
      <c r="D46" t="s">
        <v>131</v>
      </c>
      <c r="E46" t="s">
        <v>144</v>
      </c>
      <c r="F46" t="s">
        <v>166</v>
      </c>
      <c r="G46" t="s">
        <v>134</v>
      </c>
      <c r="H46">
        <v>7</v>
      </c>
      <c r="I46">
        <v>380</v>
      </c>
      <c r="J46" s="3">
        <v>2660</v>
      </c>
      <c r="K46" s="3">
        <v>1260</v>
      </c>
      <c r="L46" s="3">
        <v>1400</v>
      </c>
    </row>
    <row r="47" spans="1:12" ht="15" customHeight="1" x14ac:dyDescent="0.25">
      <c r="A47">
        <v>8046</v>
      </c>
      <c r="B47" t="s">
        <v>215</v>
      </c>
      <c r="C47" t="s">
        <v>96</v>
      </c>
      <c r="D47" t="s">
        <v>97</v>
      </c>
      <c r="E47" t="s">
        <v>157</v>
      </c>
      <c r="F47" t="s">
        <v>138</v>
      </c>
      <c r="G47" t="s">
        <v>134</v>
      </c>
      <c r="H47">
        <v>1</v>
      </c>
      <c r="I47">
        <v>25</v>
      </c>
      <c r="J47" s="3">
        <v>25</v>
      </c>
      <c r="K47" s="3">
        <v>8</v>
      </c>
      <c r="L47" s="3">
        <v>17</v>
      </c>
    </row>
    <row r="48" spans="1:12" ht="15" customHeight="1" x14ac:dyDescent="0.25">
      <c r="A48">
        <v>8047</v>
      </c>
      <c r="B48" t="s">
        <v>216</v>
      </c>
      <c r="C48" t="s">
        <v>119</v>
      </c>
      <c r="D48" t="s">
        <v>131</v>
      </c>
      <c r="E48" t="s">
        <v>148</v>
      </c>
      <c r="F48" t="s">
        <v>217</v>
      </c>
      <c r="G48" t="s">
        <v>164</v>
      </c>
      <c r="H48">
        <v>15</v>
      </c>
      <c r="I48">
        <v>160</v>
      </c>
      <c r="J48" s="3">
        <v>2400</v>
      </c>
      <c r="K48" s="3">
        <v>1050</v>
      </c>
      <c r="L48" s="3">
        <v>1350</v>
      </c>
    </row>
    <row r="49" spans="1:12" ht="15" customHeight="1" x14ac:dyDescent="0.25">
      <c r="A49">
        <v>8048</v>
      </c>
      <c r="B49" t="s">
        <v>218</v>
      </c>
      <c r="C49" t="s">
        <v>96</v>
      </c>
      <c r="D49" t="s">
        <v>136</v>
      </c>
      <c r="E49" t="s">
        <v>137</v>
      </c>
      <c r="F49" t="s">
        <v>161</v>
      </c>
      <c r="G49" t="s">
        <v>164</v>
      </c>
      <c r="H49">
        <v>15</v>
      </c>
      <c r="I49">
        <v>9</v>
      </c>
      <c r="J49" s="3">
        <v>135</v>
      </c>
      <c r="K49" s="3">
        <v>45</v>
      </c>
      <c r="L49" s="3">
        <v>90</v>
      </c>
    </row>
    <row r="50" spans="1:12" ht="15" customHeight="1" x14ac:dyDescent="0.25">
      <c r="A50">
        <v>8049</v>
      </c>
      <c r="B50" t="s">
        <v>219</v>
      </c>
      <c r="C50" t="s">
        <v>121</v>
      </c>
      <c r="D50" t="s">
        <v>136</v>
      </c>
      <c r="E50" t="s">
        <v>160</v>
      </c>
      <c r="F50" t="s">
        <v>168</v>
      </c>
      <c r="G50" t="s">
        <v>176</v>
      </c>
      <c r="H50">
        <v>12</v>
      </c>
      <c r="I50">
        <v>15</v>
      </c>
      <c r="J50" s="3">
        <v>180</v>
      </c>
      <c r="K50" s="3">
        <v>60</v>
      </c>
      <c r="L50" s="3">
        <v>120</v>
      </c>
    </row>
    <row r="51" spans="1:12" ht="15" customHeight="1" x14ac:dyDescent="0.25">
      <c r="A51">
        <v>8050</v>
      </c>
      <c r="B51" t="s">
        <v>220</v>
      </c>
      <c r="C51" t="s">
        <v>96</v>
      </c>
      <c r="D51" t="s">
        <v>97</v>
      </c>
      <c r="E51" t="s">
        <v>90</v>
      </c>
      <c r="F51" t="s">
        <v>187</v>
      </c>
      <c r="G51" t="s">
        <v>142</v>
      </c>
      <c r="H51">
        <v>15</v>
      </c>
      <c r="I51">
        <v>420</v>
      </c>
      <c r="J51" s="3">
        <v>6300</v>
      </c>
      <c r="K51" s="3">
        <v>3300</v>
      </c>
      <c r="L51" s="3">
        <v>3000</v>
      </c>
    </row>
    <row r="52" spans="1:12" ht="15" customHeight="1" x14ac:dyDescent="0.25">
      <c r="A52">
        <v>8051</v>
      </c>
      <c r="B52" t="s">
        <v>221</v>
      </c>
      <c r="C52" t="s">
        <v>96</v>
      </c>
      <c r="D52" t="s">
        <v>97</v>
      </c>
      <c r="E52" t="s">
        <v>157</v>
      </c>
      <c r="F52" t="s">
        <v>207</v>
      </c>
      <c r="G52" t="s">
        <v>146</v>
      </c>
      <c r="H52">
        <v>9</v>
      </c>
      <c r="I52">
        <v>25</v>
      </c>
      <c r="J52" s="3">
        <v>225</v>
      </c>
      <c r="K52" s="3">
        <v>72</v>
      </c>
      <c r="L52" s="3">
        <v>153</v>
      </c>
    </row>
    <row r="53" spans="1:12" ht="15" customHeight="1" x14ac:dyDescent="0.25">
      <c r="A53">
        <v>8052</v>
      </c>
      <c r="B53" t="s">
        <v>222</v>
      </c>
      <c r="C53" t="s">
        <v>121</v>
      </c>
      <c r="D53" t="s">
        <v>97</v>
      </c>
      <c r="E53" t="s">
        <v>157</v>
      </c>
      <c r="F53" t="s">
        <v>141</v>
      </c>
      <c r="G53" t="s">
        <v>139</v>
      </c>
      <c r="H53">
        <v>3</v>
      </c>
      <c r="I53">
        <v>25</v>
      </c>
      <c r="J53" s="3">
        <v>75</v>
      </c>
      <c r="K53" s="3">
        <v>24</v>
      </c>
      <c r="L53" s="3">
        <v>51</v>
      </c>
    </row>
    <row r="54" spans="1:12" ht="15" customHeight="1" x14ac:dyDescent="0.25">
      <c r="A54">
        <v>8053</v>
      </c>
      <c r="B54" t="s">
        <v>223</v>
      </c>
      <c r="C54" t="s">
        <v>119</v>
      </c>
      <c r="D54" t="s">
        <v>97</v>
      </c>
      <c r="E54" t="s">
        <v>151</v>
      </c>
      <c r="F54" t="s">
        <v>201</v>
      </c>
      <c r="G54" t="s">
        <v>164</v>
      </c>
      <c r="H54">
        <v>11</v>
      </c>
      <c r="I54">
        <v>75</v>
      </c>
      <c r="J54" s="3">
        <v>825</v>
      </c>
      <c r="K54" s="3">
        <v>330</v>
      </c>
      <c r="L54" s="3">
        <v>495</v>
      </c>
    </row>
    <row r="55" spans="1:12" ht="15" customHeight="1" x14ac:dyDescent="0.25">
      <c r="A55">
        <v>8054</v>
      </c>
      <c r="B55" t="s">
        <v>224</v>
      </c>
      <c r="C55" t="s">
        <v>120</v>
      </c>
      <c r="D55" t="s">
        <v>97</v>
      </c>
      <c r="E55" t="s">
        <v>87</v>
      </c>
      <c r="F55" t="s">
        <v>225</v>
      </c>
      <c r="G55" t="s">
        <v>172</v>
      </c>
      <c r="H55">
        <v>6</v>
      </c>
      <c r="I55">
        <v>1200</v>
      </c>
      <c r="J55" s="3">
        <v>7200</v>
      </c>
      <c r="K55" s="3">
        <v>5100</v>
      </c>
      <c r="L55" s="3">
        <v>2100</v>
      </c>
    </row>
    <row r="56" spans="1:12" ht="15" customHeight="1" x14ac:dyDescent="0.25">
      <c r="A56">
        <v>8055</v>
      </c>
      <c r="B56" t="s">
        <v>226</v>
      </c>
      <c r="C56" t="s">
        <v>96</v>
      </c>
      <c r="D56" t="s">
        <v>131</v>
      </c>
      <c r="E56" t="s">
        <v>144</v>
      </c>
      <c r="F56" t="s">
        <v>227</v>
      </c>
      <c r="G56" t="s">
        <v>146</v>
      </c>
      <c r="H56">
        <v>10</v>
      </c>
      <c r="I56">
        <v>380</v>
      </c>
      <c r="J56" s="3">
        <v>3800</v>
      </c>
      <c r="K56" s="3">
        <v>1800</v>
      </c>
      <c r="L56" s="3">
        <v>2000</v>
      </c>
    </row>
    <row r="57" spans="1:12" ht="15" customHeight="1" x14ac:dyDescent="0.25">
      <c r="A57">
        <v>8056</v>
      </c>
      <c r="B57" t="s">
        <v>228</v>
      </c>
      <c r="C57" t="s">
        <v>96</v>
      </c>
      <c r="D57" t="s">
        <v>131</v>
      </c>
      <c r="E57" t="s">
        <v>132</v>
      </c>
      <c r="F57" t="s">
        <v>141</v>
      </c>
      <c r="G57" t="s">
        <v>134</v>
      </c>
      <c r="H57">
        <v>8</v>
      </c>
      <c r="I57">
        <v>190</v>
      </c>
      <c r="J57" s="3">
        <v>1520</v>
      </c>
      <c r="K57" s="3">
        <v>720</v>
      </c>
      <c r="L57" s="3">
        <v>800</v>
      </c>
    </row>
    <row r="58" spans="1:12" ht="15" customHeight="1" x14ac:dyDescent="0.25">
      <c r="A58">
        <v>8057</v>
      </c>
      <c r="B58" t="s">
        <v>229</v>
      </c>
      <c r="C58" t="s">
        <v>119</v>
      </c>
      <c r="D58" t="s">
        <v>131</v>
      </c>
      <c r="E58" t="s">
        <v>155</v>
      </c>
      <c r="F58" t="s">
        <v>207</v>
      </c>
      <c r="G58" t="s">
        <v>164</v>
      </c>
      <c r="H58">
        <v>11</v>
      </c>
      <c r="I58">
        <v>140</v>
      </c>
      <c r="J58" s="3">
        <v>1540</v>
      </c>
      <c r="K58" s="3">
        <v>715</v>
      </c>
      <c r="L58" s="3">
        <v>825</v>
      </c>
    </row>
    <row r="59" spans="1:12" ht="15" customHeight="1" x14ac:dyDescent="0.25">
      <c r="A59">
        <v>8058</v>
      </c>
      <c r="B59" t="s">
        <v>147</v>
      </c>
      <c r="C59" t="s">
        <v>120</v>
      </c>
      <c r="D59" t="s">
        <v>131</v>
      </c>
      <c r="E59" t="s">
        <v>144</v>
      </c>
      <c r="F59" t="s">
        <v>230</v>
      </c>
      <c r="G59" t="s">
        <v>176</v>
      </c>
      <c r="H59">
        <v>4</v>
      </c>
      <c r="I59">
        <v>380</v>
      </c>
      <c r="J59" s="3">
        <v>1520</v>
      </c>
      <c r="K59" s="3">
        <v>720</v>
      </c>
      <c r="L59" s="3">
        <v>800</v>
      </c>
    </row>
    <row r="60" spans="1:12" ht="15" customHeight="1" x14ac:dyDescent="0.25">
      <c r="A60">
        <v>8059</v>
      </c>
      <c r="B60" t="s">
        <v>231</v>
      </c>
      <c r="C60" t="s">
        <v>120</v>
      </c>
      <c r="D60" t="s">
        <v>97</v>
      </c>
      <c r="E60" t="s">
        <v>157</v>
      </c>
      <c r="F60" t="s">
        <v>145</v>
      </c>
      <c r="G60" t="s">
        <v>146</v>
      </c>
      <c r="H60">
        <v>9</v>
      </c>
      <c r="I60">
        <v>25</v>
      </c>
      <c r="J60" s="3">
        <v>225</v>
      </c>
      <c r="K60" s="3">
        <v>72</v>
      </c>
      <c r="L60" s="3">
        <v>153</v>
      </c>
    </row>
    <row r="61" spans="1:12" ht="15" customHeight="1" x14ac:dyDescent="0.25">
      <c r="A61">
        <v>8060</v>
      </c>
      <c r="B61" t="s">
        <v>219</v>
      </c>
      <c r="C61" t="s">
        <v>121</v>
      </c>
      <c r="D61" t="s">
        <v>136</v>
      </c>
      <c r="E61" t="s">
        <v>137</v>
      </c>
      <c r="F61" t="s">
        <v>232</v>
      </c>
      <c r="G61" t="s">
        <v>172</v>
      </c>
      <c r="H61">
        <v>4</v>
      </c>
      <c r="I61">
        <v>9</v>
      </c>
      <c r="J61" s="3">
        <v>36</v>
      </c>
      <c r="K61" s="3">
        <v>12</v>
      </c>
      <c r="L61" s="3">
        <v>24</v>
      </c>
    </row>
    <row r="62" spans="1:12" ht="15" customHeight="1" x14ac:dyDescent="0.25">
      <c r="A62">
        <v>8061</v>
      </c>
      <c r="B62" t="s">
        <v>233</v>
      </c>
      <c r="C62" t="s">
        <v>120</v>
      </c>
      <c r="D62" t="s">
        <v>97</v>
      </c>
      <c r="E62" t="s">
        <v>90</v>
      </c>
      <c r="F62" t="s">
        <v>234</v>
      </c>
      <c r="G62" t="s">
        <v>202</v>
      </c>
      <c r="H62">
        <v>4</v>
      </c>
      <c r="I62">
        <v>420</v>
      </c>
      <c r="J62" s="3">
        <v>1680</v>
      </c>
      <c r="K62" s="3">
        <v>880</v>
      </c>
      <c r="L62" s="3">
        <v>800</v>
      </c>
    </row>
    <row r="63" spans="1:12" ht="15" customHeight="1" x14ac:dyDescent="0.25">
      <c r="A63">
        <v>8062</v>
      </c>
      <c r="B63" t="s">
        <v>235</v>
      </c>
      <c r="C63" t="s">
        <v>119</v>
      </c>
      <c r="D63" t="s">
        <v>131</v>
      </c>
      <c r="E63" t="s">
        <v>155</v>
      </c>
      <c r="F63" t="s">
        <v>141</v>
      </c>
      <c r="G63" t="s">
        <v>202</v>
      </c>
      <c r="H63">
        <v>3</v>
      </c>
      <c r="I63">
        <v>140</v>
      </c>
      <c r="J63" s="3">
        <v>420</v>
      </c>
      <c r="K63" s="3">
        <v>195</v>
      </c>
      <c r="L63" s="3">
        <v>225</v>
      </c>
    </row>
    <row r="64" spans="1:12" ht="15" customHeight="1" x14ac:dyDescent="0.25">
      <c r="A64">
        <v>8063</v>
      </c>
      <c r="B64" t="s">
        <v>236</v>
      </c>
      <c r="C64" t="s">
        <v>119</v>
      </c>
      <c r="D64" t="s">
        <v>131</v>
      </c>
      <c r="E64" t="s">
        <v>144</v>
      </c>
      <c r="F64" t="s">
        <v>237</v>
      </c>
      <c r="G64" t="s">
        <v>139</v>
      </c>
      <c r="H64">
        <v>7</v>
      </c>
      <c r="I64">
        <v>380</v>
      </c>
      <c r="J64" s="3">
        <v>2660</v>
      </c>
      <c r="K64" s="3">
        <v>1260</v>
      </c>
      <c r="L64" s="3">
        <v>1400</v>
      </c>
    </row>
    <row r="65" spans="1:12" ht="15" customHeight="1" x14ac:dyDescent="0.25">
      <c r="A65">
        <v>8064</v>
      </c>
      <c r="B65" t="s">
        <v>140</v>
      </c>
      <c r="C65" t="s">
        <v>96</v>
      </c>
      <c r="D65" t="s">
        <v>131</v>
      </c>
      <c r="E65" t="s">
        <v>148</v>
      </c>
      <c r="F65" t="s">
        <v>238</v>
      </c>
      <c r="G65" t="s">
        <v>202</v>
      </c>
      <c r="H65">
        <v>13</v>
      </c>
      <c r="I65">
        <v>160</v>
      </c>
      <c r="J65" s="3">
        <v>2080</v>
      </c>
      <c r="K65" s="3">
        <v>910</v>
      </c>
      <c r="L65" s="3">
        <v>1170</v>
      </c>
    </row>
    <row r="66" spans="1:12" ht="15" customHeight="1" x14ac:dyDescent="0.25">
      <c r="A66">
        <v>8065</v>
      </c>
      <c r="B66" t="s">
        <v>239</v>
      </c>
      <c r="C66" t="s">
        <v>120</v>
      </c>
      <c r="D66" t="s">
        <v>97</v>
      </c>
      <c r="E66" t="s">
        <v>157</v>
      </c>
      <c r="F66" t="s">
        <v>201</v>
      </c>
      <c r="G66" t="s">
        <v>172</v>
      </c>
      <c r="H66">
        <v>7</v>
      </c>
      <c r="I66">
        <v>25</v>
      </c>
      <c r="J66" s="3">
        <v>175</v>
      </c>
      <c r="K66" s="3">
        <v>56</v>
      </c>
      <c r="L66" s="3">
        <v>119</v>
      </c>
    </row>
    <row r="67" spans="1:12" ht="15" customHeight="1" x14ac:dyDescent="0.25">
      <c r="A67">
        <v>8066</v>
      </c>
      <c r="B67" t="s">
        <v>240</v>
      </c>
      <c r="C67" t="s">
        <v>120</v>
      </c>
      <c r="D67" t="s">
        <v>136</v>
      </c>
      <c r="E67" t="s">
        <v>137</v>
      </c>
      <c r="F67" t="s">
        <v>170</v>
      </c>
      <c r="G67" t="s">
        <v>134</v>
      </c>
      <c r="H67">
        <v>14</v>
      </c>
      <c r="I67">
        <v>9</v>
      </c>
      <c r="J67" s="3">
        <v>126</v>
      </c>
      <c r="K67" s="3">
        <v>42</v>
      </c>
      <c r="L67" s="3">
        <v>84</v>
      </c>
    </row>
    <row r="68" spans="1:12" ht="15" customHeight="1" x14ac:dyDescent="0.25">
      <c r="A68">
        <v>8067</v>
      </c>
      <c r="B68" t="s">
        <v>241</v>
      </c>
      <c r="C68" t="s">
        <v>121</v>
      </c>
      <c r="D68" t="s">
        <v>97</v>
      </c>
      <c r="E68" t="s">
        <v>151</v>
      </c>
      <c r="F68" t="s">
        <v>187</v>
      </c>
      <c r="G68" t="s">
        <v>176</v>
      </c>
      <c r="H68">
        <v>3</v>
      </c>
      <c r="I68">
        <v>75</v>
      </c>
      <c r="J68" s="3">
        <v>225</v>
      </c>
      <c r="K68" s="3">
        <v>90</v>
      </c>
      <c r="L68" s="3">
        <v>135</v>
      </c>
    </row>
    <row r="69" spans="1:12" ht="15" customHeight="1" x14ac:dyDescent="0.25">
      <c r="A69">
        <v>8068</v>
      </c>
      <c r="B69" t="s">
        <v>242</v>
      </c>
      <c r="C69" t="s">
        <v>119</v>
      </c>
      <c r="D69" t="s">
        <v>97</v>
      </c>
      <c r="E69" t="s">
        <v>90</v>
      </c>
      <c r="F69" t="s">
        <v>243</v>
      </c>
      <c r="G69" t="s">
        <v>142</v>
      </c>
      <c r="H69">
        <v>11</v>
      </c>
      <c r="I69">
        <v>420</v>
      </c>
      <c r="J69" s="3">
        <v>4620</v>
      </c>
      <c r="K69" s="3">
        <v>2420</v>
      </c>
      <c r="L69" s="3">
        <v>2200</v>
      </c>
    </row>
    <row r="70" spans="1:12" ht="15" customHeight="1" x14ac:dyDescent="0.25">
      <c r="A70">
        <v>8069</v>
      </c>
      <c r="B70" t="s">
        <v>244</v>
      </c>
      <c r="C70" t="s">
        <v>120</v>
      </c>
      <c r="D70" t="s">
        <v>131</v>
      </c>
      <c r="E70" t="s">
        <v>155</v>
      </c>
      <c r="F70" t="s">
        <v>201</v>
      </c>
      <c r="G70" t="s">
        <v>176</v>
      </c>
      <c r="H70">
        <v>9</v>
      </c>
      <c r="I70">
        <v>140</v>
      </c>
      <c r="J70" s="3">
        <v>1260</v>
      </c>
      <c r="K70" s="3">
        <v>585</v>
      </c>
      <c r="L70" s="3">
        <v>675</v>
      </c>
    </row>
    <row r="71" spans="1:12" ht="15" customHeight="1" x14ac:dyDescent="0.25">
      <c r="A71">
        <v>8070</v>
      </c>
      <c r="B71" t="s">
        <v>245</v>
      </c>
      <c r="C71" t="s">
        <v>119</v>
      </c>
      <c r="D71" t="s">
        <v>97</v>
      </c>
      <c r="E71" t="s">
        <v>151</v>
      </c>
      <c r="F71" t="s">
        <v>145</v>
      </c>
      <c r="G71" t="s">
        <v>134</v>
      </c>
      <c r="H71">
        <v>1</v>
      </c>
      <c r="I71">
        <v>75</v>
      </c>
      <c r="J71" s="3">
        <v>75</v>
      </c>
      <c r="K71" s="3">
        <v>30</v>
      </c>
      <c r="L71" s="3">
        <v>45</v>
      </c>
    </row>
    <row r="72" spans="1:12" ht="15" customHeight="1" x14ac:dyDescent="0.25">
      <c r="A72">
        <v>8071</v>
      </c>
      <c r="B72" t="s">
        <v>246</v>
      </c>
      <c r="C72" t="s">
        <v>119</v>
      </c>
      <c r="D72" t="s">
        <v>131</v>
      </c>
      <c r="E72" t="s">
        <v>132</v>
      </c>
      <c r="F72" t="s">
        <v>209</v>
      </c>
      <c r="G72" t="s">
        <v>139</v>
      </c>
      <c r="H72">
        <v>3</v>
      </c>
      <c r="I72">
        <v>190</v>
      </c>
      <c r="J72" s="3">
        <v>570</v>
      </c>
      <c r="K72" s="3">
        <v>270</v>
      </c>
      <c r="L72" s="3">
        <v>300</v>
      </c>
    </row>
    <row r="73" spans="1:12" ht="15" customHeight="1" x14ac:dyDescent="0.25">
      <c r="A73">
        <v>8072</v>
      </c>
      <c r="B73" t="s">
        <v>247</v>
      </c>
      <c r="C73" t="s">
        <v>119</v>
      </c>
      <c r="D73" t="s">
        <v>136</v>
      </c>
      <c r="E73" t="s">
        <v>160</v>
      </c>
      <c r="F73" t="s">
        <v>201</v>
      </c>
      <c r="G73" t="s">
        <v>139</v>
      </c>
      <c r="H73">
        <v>5</v>
      </c>
      <c r="I73">
        <v>15</v>
      </c>
      <c r="J73" s="3">
        <v>75</v>
      </c>
      <c r="K73" s="3">
        <v>25</v>
      </c>
      <c r="L73" s="3">
        <v>50</v>
      </c>
    </row>
    <row r="74" spans="1:12" ht="15" customHeight="1" x14ac:dyDescent="0.25">
      <c r="A74">
        <v>8073</v>
      </c>
      <c r="B74" t="s">
        <v>248</v>
      </c>
      <c r="C74" t="s">
        <v>121</v>
      </c>
      <c r="D74" t="s">
        <v>97</v>
      </c>
      <c r="E74" t="s">
        <v>157</v>
      </c>
      <c r="F74" t="s">
        <v>158</v>
      </c>
      <c r="G74" t="s">
        <v>202</v>
      </c>
      <c r="H74">
        <v>6</v>
      </c>
      <c r="I74">
        <v>25</v>
      </c>
      <c r="J74" s="3">
        <v>150</v>
      </c>
      <c r="K74" s="3">
        <v>48</v>
      </c>
      <c r="L74" s="3">
        <v>102</v>
      </c>
    </row>
    <row r="75" spans="1:12" ht="15" customHeight="1" x14ac:dyDescent="0.25">
      <c r="A75">
        <v>8074</v>
      </c>
      <c r="B75" t="s">
        <v>249</v>
      </c>
      <c r="C75" t="s">
        <v>119</v>
      </c>
      <c r="D75" t="s">
        <v>131</v>
      </c>
      <c r="E75" t="s">
        <v>148</v>
      </c>
      <c r="F75" t="s">
        <v>138</v>
      </c>
      <c r="G75" t="s">
        <v>202</v>
      </c>
      <c r="H75">
        <v>9</v>
      </c>
      <c r="I75">
        <v>160</v>
      </c>
      <c r="J75" s="3">
        <v>1440</v>
      </c>
      <c r="K75" s="3">
        <v>630</v>
      </c>
      <c r="L75" s="3">
        <v>810</v>
      </c>
    </row>
    <row r="76" spans="1:12" ht="15" customHeight="1" x14ac:dyDescent="0.25">
      <c r="A76">
        <v>8075</v>
      </c>
      <c r="B76" t="s">
        <v>245</v>
      </c>
      <c r="C76" t="s">
        <v>119</v>
      </c>
      <c r="D76" t="s">
        <v>136</v>
      </c>
      <c r="E76" t="s">
        <v>137</v>
      </c>
      <c r="F76" t="s">
        <v>217</v>
      </c>
      <c r="G76" t="s">
        <v>202</v>
      </c>
      <c r="H76">
        <v>8</v>
      </c>
      <c r="I76">
        <v>9</v>
      </c>
      <c r="J76" s="3">
        <v>72</v>
      </c>
      <c r="K76" s="3">
        <v>24</v>
      </c>
      <c r="L76" s="3">
        <v>48</v>
      </c>
    </row>
    <row r="77" spans="1:12" ht="15" customHeight="1" x14ac:dyDescent="0.25">
      <c r="A77">
        <v>8076</v>
      </c>
      <c r="B77" t="s">
        <v>250</v>
      </c>
      <c r="C77" t="s">
        <v>119</v>
      </c>
      <c r="D77" t="s">
        <v>97</v>
      </c>
      <c r="E77" t="s">
        <v>87</v>
      </c>
      <c r="F77" t="s">
        <v>207</v>
      </c>
      <c r="G77" t="s">
        <v>142</v>
      </c>
      <c r="H77">
        <v>4</v>
      </c>
      <c r="I77">
        <v>1200</v>
      </c>
      <c r="J77" s="3">
        <v>4800</v>
      </c>
      <c r="K77" s="3">
        <v>3400</v>
      </c>
      <c r="L77" s="3">
        <v>1400</v>
      </c>
    </row>
    <row r="78" spans="1:12" ht="15" customHeight="1" x14ac:dyDescent="0.25">
      <c r="A78">
        <v>8077</v>
      </c>
      <c r="B78" t="s">
        <v>203</v>
      </c>
      <c r="C78" t="s">
        <v>119</v>
      </c>
      <c r="D78" t="s">
        <v>131</v>
      </c>
      <c r="E78" t="s">
        <v>132</v>
      </c>
      <c r="F78" t="s">
        <v>234</v>
      </c>
      <c r="G78" t="s">
        <v>202</v>
      </c>
      <c r="H78">
        <v>4</v>
      </c>
      <c r="I78">
        <v>190</v>
      </c>
      <c r="J78" s="3">
        <v>760</v>
      </c>
      <c r="K78" s="3">
        <v>360</v>
      </c>
      <c r="L78" s="3">
        <v>400</v>
      </c>
    </row>
    <row r="79" spans="1:12" ht="15" customHeight="1" x14ac:dyDescent="0.25">
      <c r="A79">
        <v>8078</v>
      </c>
      <c r="B79" t="s">
        <v>251</v>
      </c>
      <c r="C79" t="s">
        <v>119</v>
      </c>
      <c r="D79" t="s">
        <v>131</v>
      </c>
      <c r="E79" t="s">
        <v>155</v>
      </c>
      <c r="F79" t="s">
        <v>170</v>
      </c>
      <c r="G79" t="s">
        <v>202</v>
      </c>
      <c r="H79">
        <v>10</v>
      </c>
      <c r="I79">
        <v>140</v>
      </c>
      <c r="J79" s="3">
        <v>1400</v>
      </c>
      <c r="K79" s="3">
        <v>650</v>
      </c>
      <c r="L79" s="3">
        <v>750</v>
      </c>
    </row>
    <row r="80" spans="1:12" ht="15" customHeight="1" x14ac:dyDescent="0.25">
      <c r="A80">
        <v>8079</v>
      </c>
      <c r="B80" t="s">
        <v>162</v>
      </c>
      <c r="C80" t="s">
        <v>121</v>
      </c>
      <c r="D80" t="s">
        <v>131</v>
      </c>
      <c r="E80" t="s">
        <v>155</v>
      </c>
      <c r="F80" t="s">
        <v>252</v>
      </c>
      <c r="G80" t="s">
        <v>146</v>
      </c>
      <c r="H80">
        <v>3</v>
      </c>
      <c r="I80">
        <v>140</v>
      </c>
      <c r="J80" s="3">
        <v>420</v>
      </c>
      <c r="K80" s="3">
        <v>195</v>
      </c>
      <c r="L80" s="3">
        <v>225</v>
      </c>
    </row>
    <row r="81" spans="1:12" ht="15" customHeight="1" x14ac:dyDescent="0.25">
      <c r="A81">
        <v>8080</v>
      </c>
      <c r="B81" t="s">
        <v>253</v>
      </c>
      <c r="C81" t="s">
        <v>96</v>
      </c>
      <c r="D81" t="s">
        <v>131</v>
      </c>
      <c r="E81" t="s">
        <v>144</v>
      </c>
      <c r="F81" t="s">
        <v>133</v>
      </c>
      <c r="G81" t="s">
        <v>134</v>
      </c>
      <c r="H81">
        <v>9</v>
      </c>
      <c r="I81">
        <v>380</v>
      </c>
      <c r="J81" s="3">
        <v>3420</v>
      </c>
      <c r="K81" s="3">
        <v>1620</v>
      </c>
      <c r="L81" s="3">
        <v>1800</v>
      </c>
    </row>
    <row r="82" spans="1:12" ht="15" customHeight="1" x14ac:dyDescent="0.25">
      <c r="A82">
        <v>8081</v>
      </c>
      <c r="B82" t="s">
        <v>254</v>
      </c>
      <c r="C82" t="s">
        <v>119</v>
      </c>
      <c r="D82" t="s">
        <v>97</v>
      </c>
      <c r="E82" t="s">
        <v>157</v>
      </c>
      <c r="F82" t="s">
        <v>170</v>
      </c>
      <c r="G82" t="s">
        <v>172</v>
      </c>
      <c r="H82">
        <v>4</v>
      </c>
      <c r="I82">
        <v>25</v>
      </c>
      <c r="J82" s="3">
        <v>100</v>
      </c>
      <c r="K82" s="3">
        <v>32</v>
      </c>
      <c r="L82" s="3">
        <v>68</v>
      </c>
    </row>
    <row r="83" spans="1:12" ht="15" customHeight="1" x14ac:dyDescent="0.25">
      <c r="A83">
        <v>8082</v>
      </c>
      <c r="B83" t="s">
        <v>255</v>
      </c>
      <c r="C83" t="s">
        <v>119</v>
      </c>
      <c r="D83" t="s">
        <v>136</v>
      </c>
      <c r="E83" t="s">
        <v>160</v>
      </c>
      <c r="F83" t="s">
        <v>256</v>
      </c>
      <c r="G83" t="s">
        <v>172</v>
      </c>
      <c r="H83">
        <v>11</v>
      </c>
      <c r="I83">
        <v>15</v>
      </c>
      <c r="J83" s="3">
        <v>165</v>
      </c>
      <c r="K83" s="3">
        <v>55</v>
      </c>
      <c r="L83" s="3">
        <v>110</v>
      </c>
    </row>
    <row r="84" spans="1:12" ht="15" customHeight="1" x14ac:dyDescent="0.25">
      <c r="A84">
        <v>8083</v>
      </c>
      <c r="B84" t="s">
        <v>257</v>
      </c>
      <c r="C84" t="s">
        <v>120</v>
      </c>
      <c r="D84" t="s">
        <v>131</v>
      </c>
      <c r="E84" t="s">
        <v>132</v>
      </c>
      <c r="F84" t="s">
        <v>158</v>
      </c>
      <c r="G84" t="s">
        <v>142</v>
      </c>
      <c r="H84">
        <v>10</v>
      </c>
      <c r="I84">
        <v>190</v>
      </c>
      <c r="J84" s="3">
        <v>1900</v>
      </c>
      <c r="K84" s="3">
        <v>900</v>
      </c>
      <c r="L84" s="3">
        <v>1000</v>
      </c>
    </row>
    <row r="85" spans="1:12" ht="15" customHeight="1" x14ac:dyDescent="0.25">
      <c r="A85">
        <v>8084</v>
      </c>
      <c r="B85" t="s">
        <v>258</v>
      </c>
      <c r="C85" t="s">
        <v>96</v>
      </c>
      <c r="D85" t="s">
        <v>136</v>
      </c>
      <c r="E85" t="s">
        <v>160</v>
      </c>
      <c r="F85" t="s">
        <v>252</v>
      </c>
      <c r="G85" t="s">
        <v>164</v>
      </c>
      <c r="H85">
        <v>9</v>
      </c>
      <c r="I85">
        <v>15</v>
      </c>
      <c r="J85" s="3">
        <v>135</v>
      </c>
      <c r="K85" s="3">
        <v>45</v>
      </c>
      <c r="L85" s="3">
        <v>90</v>
      </c>
    </row>
    <row r="86" spans="1:12" ht="15" customHeight="1" x14ac:dyDescent="0.25">
      <c r="A86">
        <v>8085</v>
      </c>
      <c r="B86" t="s">
        <v>259</v>
      </c>
      <c r="C86" t="s">
        <v>120</v>
      </c>
      <c r="D86" t="s">
        <v>131</v>
      </c>
      <c r="E86" t="s">
        <v>155</v>
      </c>
      <c r="F86" t="s">
        <v>141</v>
      </c>
      <c r="G86" t="s">
        <v>134</v>
      </c>
      <c r="H86">
        <v>4</v>
      </c>
      <c r="I86">
        <v>140</v>
      </c>
      <c r="J86" s="3">
        <v>560</v>
      </c>
      <c r="K86" s="3">
        <v>260</v>
      </c>
      <c r="L86" s="3">
        <v>300</v>
      </c>
    </row>
    <row r="87" spans="1:12" ht="15" customHeight="1" x14ac:dyDescent="0.25">
      <c r="A87">
        <v>8086</v>
      </c>
      <c r="B87" t="s">
        <v>260</v>
      </c>
      <c r="C87" t="s">
        <v>121</v>
      </c>
      <c r="D87" t="s">
        <v>131</v>
      </c>
      <c r="E87" t="s">
        <v>144</v>
      </c>
      <c r="F87" t="s">
        <v>225</v>
      </c>
      <c r="G87" t="s">
        <v>172</v>
      </c>
      <c r="H87">
        <v>11</v>
      </c>
      <c r="I87">
        <v>380</v>
      </c>
      <c r="J87" s="3">
        <v>4180</v>
      </c>
      <c r="K87" s="3">
        <v>1980</v>
      </c>
      <c r="L87" s="3">
        <v>2200</v>
      </c>
    </row>
    <row r="88" spans="1:12" ht="15" customHeight="1" x14ac:dyDescent="0.25">
      <c r="A88">
        <v>8087</v>
      </c>
      <c r="B88" t="s">
        <v>261</v>
      </c>
      <c r="C88" t="s">
        <v>121</v>
      </c>
      <c r="D88" t="s">
        <v>131</v>
      </c>
      <c r="E88" t="s">
        <v>132</v>
      </c>
      <c r="F88" t="s">
        <v>262</v>
      </c>
      <c r="G88" t="s">
        <v>164</v>
      </c>
      <c r="H88">
        <v>4</v>
      </c>
      <c r="I88">
        <v>190</v>
      </c>
      <c r="J88" s="3">
        <v>760</v>
      </c>
      <c r="K88" s="3">
        <v>360</v>
      </c>
      <c r="L88" s="3">
        <v>400</v>
      </c>
    </row>
    <row r="89" spans="1:12" ht="15" customHeight="1" x14ac:dyDescent="0.25">
      <c r="A89">
        <v>8088</v>
      </c>
      <c r="B89" t="s">
        <v>263</v>
      </c>
      <c r="C89" t="s">
        <v>120</v>
      </c>
      <c r="D89" t="s">
        <v>136</v>
      </c>
      <c r="E89" t="s">
        <v>160</v>
      </c>
      <c r="F89" t="s">
        <v>158</v>
      </c>
      <c r="G89" t="s">
        <v>202</v>
      </c>
      <c r="H89">
        <v>14</v>
      </c>
      <c r="I89">
        <v>15</v>
      </c>
      <c r="J89" s="3">
        <v>210</v>
      </c>
      <c r="K89" s="3">
        <v>70</v>
      </c>
      <c r="L89" s="3">
        <v>140</v>
      </c>
    </row>
    <row r="90" spans="1:12" ht="15" customHeight="1" x14ac:dyDescent="0.25">
      <c r="A90">
        <v>8089</v>
      </c>
      <c r="B90" t="s">
        <v>221</v>
      </c>
      <c r="C90" t="s">
        <v>119</v>
      </c>
      <c r="D90" t="s">
        <v>131</v>
      </c>
      <c r="E90" t="s">
        <v>148</v>
      </c>
      <c r="F90" t="s">
        <v>195</v>
      </c>
      <c r="G90" t="s">
        <v>139</v>
      </c>
      <c r="H90">
        <v>8</v>
      </c>
      <c r="I90">
        <v>160</v>
      </c>
      <c r="J90" s="3">
        <v>1280</v>
      </c>
      <c r="K90" s="3">
        <v>560</v>
      </c>
      <c r="L90" s="3">
        <v>720</v>
      </c>
    </row>
    <row r="91" spans="1:12" ht="15" customHeight="1" x14ac:dyDescent="0.25">
      <c r="A91">
        <v>8090</v>
      </c>
      <c r="B91" t="s">
        <v>264</v>
      </c>
      <c r="C91" t="s">
        <v>96</v>
      </c>
      <c r="D91" t="s">
        <v>131</v>
      </c>
      <c r="E91" t="s">
        <v>132</v>
      </c>
      <c r="F91" t="s">
        <v>145</v>
      </c>
      <c r="G91" t="s">
        <v>202</v>
      </c>
      <c r="H91">
        <v>3</v>
      </c>
      <c r="I91">
        <v>190</v>
      </c>
      <c r="J91" s="3">
        <v>570</v>
      </c>
      <c r="K91" s="3">
        <v>270</v>
      </c>
      <c r="L91" s="3">
        <v>300</v>
      </c>
    </row>
    <row r="92" spans="1:12" ht="15" customHeight="1" x14ac:dyDescent="0.25">
      <c r="A92">
        <v>8091</v>
      </c>
      <c r="B92" t="s">
        <v>263</v>
      </c>
      <c r="C92" t="s">
        <v>119</v>
      </c>
      <c r="D92" t="s">
        <v>131</v>
      </c>
      <c r="E92" t="s">
        <v>148</v>
      </c>
      <c r="F92" t="s">
        <v>201</v>
      </c>
      <c r="G92" t="s">
        <v>134</v>
      </c>
      <c r="H92">
        <v>14</v>
      </c>
      <c r="I92">
        <v>160</v>
      </c>
      <c r="J92" s="3">
        <v>2240</v>
      </c>
      <c r="K92" s="3">
        <v>980</v>
      </c>
      <c r="L92" s="3">
        <v>1260</v>
      </c>
    </row>
    <row r="93" spans="1:12" ht="15" customHeight="1" x14ac:dyDescent="0.25">
      <c r="A93">
        <v>8092</v>
      </c>
      <c r="B93" t="s">
        <v>265</v>
      </c>
      <c r="C93" t="s">
        <v>96</v>
      </c>
      <c r="D93" t="s">
        <v>136</v>
      </c>
      <c r="E93" t="s">
        <v>160</v>
      </c>
      <c r="F93" t="s">
        <v>184</v>
      </c>
      <c r="G93" t="s">
        <v>202</v>
      </c>
      <c r="H93">
        <v>13</v>
      </c>
      <c r="I93">
        <v>15</v>
      </c>
      <c r="J93" s="3">
        <v>195</v>
      </c>
      <c r="K93" s="3">
        <v>65</v>
      </c>
      <c r="L93" s="3">
        <v>130</v>
      </c>
    </row>
    <row r="94" spans="1:12" ht="15" customHeight="1" x14ac:dyDescent="0.25">
      <c r="A94">
        <v>8093</v>
      </c>
      <c r="B94" t="s">
        <v>266</v>
      </c>
      <c r="C94" t="s">
        <v>119</v>
      </c>
      <c r="D94" t="s">
        <v>131</v>
      </c>
      <c r="E94" t="s">
        <v>155</v>
      </c>
      <c r="F94" t="s">
        <v>238</v>
      </c>
      <c r="G94" t="s">
        <v>176</v>
      </c>
      <c r="H94">
        <v>8</v>
      </c>
      <c r="I94">
        <v>140</v>
      </c>
      <c r="J94" s="3">
        <v>1120</v>
      </c>
      <c r="K94" s="3">
        <v>520</v>
      </c>
      <c r="L94" s="3">
        <v>600</v>
      </c>
    </row>
    <row r="95" spans="1:12" ht="15" customHeight="1" x14ac:dyDescent="0.25">
      <c r="A95">
        <v>8094</v>
      </c>
      <c r="B95" t="s">
        <v>267</v>
      </c>
      <c r="C95" t="s">
        <v>121</v>
      </c>
      <c r="D95" t="s">
        <v>131</v>
      </c>
      <c r="E95" t="s">
        <v>148</v>
      </c>
      <c r="F95" t="s">
        <v>170</v>
      </c>
      <c r="G95" t="s">
        <v>142</v>
      </c>
      <c r="H95">
        <v>11</v>
      </c>
      <c r="I95">
        <v>160</v>
      </c>
      <c r="J95" s="3">
        <v>1760</v>
      </c>
      <c r="K95" s="3">
        <v>770</v>
      </c>
      <c r="L95" s="3">
        <v>990</v>
      </c>
    </row>
    <row r="96" spans="1:12" ht="15" customHeight="1" x14ac:dyDescent="0.25">
      <c r="A96">
        <v>8095</v>
      </c>
      <c r="B96" t="s">
        <v>268</v>
      </c>
      <c r="C96" t="s">
        <v>119</v>
      </c>
      <c r="D96" t="s">
        <v>97</v>
      </c>
      <c r="E96" t="s">
        <v>157</v>
      </c>
      <c r="F96" t="s">
        <v>225</v>
      </c>
      <c r="G96" t="s">
        <v>134</v>
      </c>
      <c r="H96">
        <v>6</v>
      </c>
      <c r="I96">
        <v>25</v>
      </c>
      <c r="J96" s="3">
        <v>150</v>
      </c>
      <c r="K96" s="3">
        <v>48</v>
      </c>
      <c r="L96" s="3">
        <v>102</v>
      </c>
    </row>
    <row r="97" spans="1:12" ht="15" customHeight="1" x14ac:dyDescent="0.25">
      <c r="A97">
        <v>8096</v>
      </c>
      <c r="B97" t="s">
        <v>266</v>
      </c>
      <c r="C97" t="s">
        <v>120</v>
      </c>
      <c r="D97" t="s">
        <v>131</v>
      </c>
      <c r="E97" t="s">
        <v>144</v>
      </c>
      <c r="F97" t="s">
        <v>182</v>
      </c>
      <c r="G97" t="s">
        <v>164</v>
      </c>
      <c r="H97">
        <v>10</v>
      </c>
      <c r="I97">
        <v>380</v>
      </c>
      <c r="J97" s="3">
        <v>3800</v>
      </c>
      <c r="K97" s="3">
        <v>1800</v>
      </c>
      <c r="L97" s="3">
        <v>2000</v>
      </c>
    </row>
    <row r="98" spans="1:12" ht="15" customHeight="1" x14ac:dyDescent="0.25">
      <c r="A98">
        <v>8097</v>
      </c>
      <c r="B98" t="s">
        <v>251</v>
      </c>
      <c r="C98" t="s">
        <v>96</v>
      </c>
      <c r="D98" t="s">
        <v>131</v>
      </c>
      <c r="E98" t="s">
        <v>155</v>
      </c>
      <c r="F98" t="s">
        <v>209</v>
      </c>
      <c r="G98" t="s">
        <v>164</v>
      </c>
      <c r="H98">
        <v>3</v>
      </c>
      <c r="I98">
        <v>140</v>
      </c>
      <c r="J98" s="3">
        <v>420</v>
      </c>
      <c r="K98" s="3">
        <v>195</v>
      </c>
      <c r="L98" s="3">
        <v>225</v>
      </c>
    </row>
    <row r="99" spans="1:12" ht="15" customHeight="1" x14ac:dyDescent="0.25">
      <c r="A99">
        <v>8098</v>
      </c>
      <c r="B99" t="s">
        <v>269</v>
      </c>
      <c r="C99" t="s">
        <v>96</v>
      </c>
      <c r="D99" t="s">
        <v>136</v>
      </c>
      <c r="E99" t="s">
        <v>160</v>
      </c>
      <c r="F99" t="s">
        <v>180</v>
      </c>
      <c r="G99" t="s">
        <v>134</v>
      </c>
      <c r="H99">
        <v>4</v>
      </c>
      <c r="I99">
        <v>15</v>
      </c>
      <c r="J99" s="3">
        <v>60</v>
      </c>
      <c r="K99" s="3">
        <v>20</v>
      </c>
      <c r="L99" s="3">
        <v>40</v>
      </c>
    </row>
    <row r="100" spans="1:12" ht="15" customHeight="1" x14ac:dyDescent="0.25">
      <c r="A100">
        <v>8099</v>
      </c>
      <c r="B100" t="s">
        <v>270</v>
      </c>
      <c r="C100" t="s">
        <v>96</v>
      </c>
      <c r="D100" t="s">
        <v>97</v>
      </c>
      <c r="E100" t="s">
        <v>87</v>
      </c>
      <c r="F100" t="s">
        <v>189</v>
      </c>
      <c r="G100" t="s">
        <v>176</v>
      </c>
      <c r="H100">
        <v>11</v>
      </c>
      <c r="I100">
        <v>1200</v>
      </c>
      <c r="J100" s="3">
        <v>13200</v>
      </c>
      <c r="K100" s="3">
        <v>9350</v>
      </c>
      <c r="L100" s="3">
        <v>3850</v>
      </c>
    </row>
    <row r="101" spans="1:12" ht="15" customHeight="1" x14ac:dyDescent="0.25">
      <c r="A101">
        <v>8100</v>
      </c>
      <c r="B101" t="s">
        <v>271</v>
      </c>
      <c r="C101" t="s">
        <v>120</v>
      </c>
      <c r="D101" t="s">
        <v>131</v>
      </c>
      <c r="E101" t="s">
        <v>144</v>
      </c>
      <c r="F101" t="s">
        <v>133</v>
      </c>
      <c r="G101" t="s">
        <v>202</v>
      </c>
      <c r="H101">
        <v>14</v>
      </c>
      <c r="I101">
        <v>380</v>
      </c>
      <c r="J101" s="3">
        <v>5320</v>
      </c>
      <c r="K101" s="3">
        <v>2520</v>
      </c>
      <c r="L101" s="3">
        <v>2800</v>
      </c>
    </row>
    <row r="102" spans="1:12" ht="15" customHeight="1" x14ac:dyDescent="0.25">
      <c r="A102">
        <v>8101</v>
      </c>
      <c r="B102" t="s">
        <v>272</v>
      </c>
      <c r="C102" t="s">
        <v>119</v>
      </c>
      <c r="D102" t="s">
        <v>131</v>
      </c>
      <c r="E102" t="s">
        <v>132</v>
      </c>
      <c r="F102" t="s">
        <v>170</v>
      </c>
      <c r="G102" t="s">
        <v>202</v>
      </c>
      <c r="H102">
        <v>1</v>
      </c>
      <c r="I102">
        <v>190</v>
      </c>
      <c r="J102" s="3">
        <v>190</v>
      </c>
      <c r="K102" s="3">
        <v>90</v>
      </c>
      <c r="L102" s="3">
        <v>100</v>
      </c>
    </row>
    <row r="103" spans="1:12" ht="15" customHeight="1" x14ac:dyDescent="0.25">
      <c r="A103">
        <v>8102</v>
      </c>
      <c r="B103" t="s">
        <v>273</v>
      </c>
      <c r="C103" t="s">
        <v>96</v>
      </c>
      <c r="D103" t="s">
        <v>131</v>
      </c>
      <c r="E103" t="s">
        <v>148</v>
      </c>
      <c r="F103" t="s">
        <v>180</v>
      </c>
      <c r="G103" t="s">
        <v>176</v>
      </c>
      <c r="H103">
        <v>12</v>
      </c>
      <c r="I103">
        <v>160</v>
      </c>
      <c r="J103" s="3">
        <v>1920</v>
      </c>
      <c r="K103" s="3">
        <v>840</v>
      </c>
      <c r="L103" s="3">
        <v>1080</v>
      </c>
    </row>
    <row r="104" spans="1:12" ht="15" customHeight="1" x14ac:dyDescent="0.25">
      <c r="A104">
        <v>8103</v>
      </c>
      <c r="B104" t="s">
        <v>190</v>
      </c>
      <c r="C104" t="s">
        <v>121</v>
      </c>
      <c r="D104" t="s">
        <v>97</v>
      </c>
      <c r="E104" t="s">
        <v>87</v>
      </c>
      <c r="F104" t="s">
        <v>187</v>
      </c>
      <c r="G104" t="s">
        <v>176</v>
      </c>
      <c r="H104">
        <v>11</v>
      </c>
      <c r="I104">
        <v>1200</v>
      </c>
      <c r="J104" s="3">
        <v>13200</v>
      </c>
      <c r="K104" s="3">
        <v>9350</v>
      </c>
      <c r="L104" s="3">
        <v>3850</v>
      </c>
    </row>
    <row r="105" spans="1:12" ht="15" customHeight="1" x14ac:dyDescent="0.25">
      <c r="A105">
        <v>8104</v>
      </c>
      <c r="B105" t="s">
        <v>274</v>
      </c>
      <c r="C105" t="s">
        <v>121</v>
      </c>
      <c r="D105" t="s">
        <v>136</v>
      </c>
      <c r="E105" t="s">
        <v>137</v>
      </c>
      <c r="F105" t="s">
        <v>238</v>
      </c>
      <c r="G105" t="s">
        <v>139</v>
      </c>
      <c r="H105">
        <v>11</v>
      </c>
      <c r="I105">
        <v>9</v>
      </c>
      <c r="J105" s="3">
        <v>99</v>
      </c>
      <c r="K105" s="3">
        <v>33</v>
      </c>
      <c r="L105" s="3">
        <v>66</v>
      </c>
    </row>
    <row r="106" spans="1:12" ht="15" customHeight="1" x14ac:dyDescent="0.25">
      <c r="A106">
        <v>8105</v>
      </c>
      <c r="B106" t="s">
        <v>275</v>
      </c>
      <c r="C106" t="s">
        <v>121</v>
      </c>
      <c r="D106" t="s">
        <v>131</v>
      </c>
      <c r="E106" t="s">
        <v>144</v>
      </c>
      <c r="F106" t="s">
        <v>238</v>
      </c>
      <c r="G106" t="s">
        <v>139</v>
      </c>
      <c r="H106">
        <v>1</v>
      </c>
      <c r="I106">
        <v>380</v>
      </c>
      <c r="J106" s="3">
        <v>380</v>
      </c>
      <c r="K106" s="3">
        <v>180</v>
      </c>
      <c r="L106" s="3">
        <v>200</v>
      </c>
    </row>
    <row r="107" spans="1:12" ht="15" customHeight="1" x14ac:dyDescent="0.25">
      <c r="A107">
        <v>8106</v>
      </c>
      <c r="B107" t="s">
        <v>150</v>
      </c>
      <c r="C107" t="s">
        <v>120</v>
      </c>
      <c r="D107" t="s">
        <v>97</v>
      </c>
      <c r="E107" t="s">
        <v>151</v>
      </c>
      <c r="F107" t="s">
        <v>168</v>
      </c>
      <c r="G107" t="s">
        <v>202</v>
      </c>
      <c r="H107">
        <v>8</v>
      </c>
      <c r="I107">
        <v>75</v>
      </c>
      <c r="J107" s="3">
        <v>600</v>
      </c>
      <c r="K107" s="3">
        <v>240</v>
      </c>
      <c r="L107" s="3">
        <v>360</v>
      </c>
    </row>
    <row r="108" spans="1:12" ht="15" customHeight="1" x14ac:dyDescent="0.25">
      <c r="A108">
        <v>8107</v>
      </c>
      <c r="B108" t="s">
        <v>276</v>
      </c>
      <c r="C108" t="s">
        <v>119</v>
      </c>
      <c r="D108" t="s">
        <v>97</v>
      </c>
      <c r="E108" t="s">
        <v>151</v>
      </c>
      <c r="F108" t="s">
        <v>174</v>
      </c>
      <c r="G108" t="s">
        <v>139</v>
      </c>
      <c r="H108">
        <v>12</v>
      </c>
      <c r="I108">
        <v>75</v>
      </c>
      <c r="J108" s="3">
        <v>900</v>
      </c>
      <c r="K108" s="3">
        <v>360</v>
      </c>
      <c r="L108" s="3">
        <v>540</v>
      </c>
    </row>
    <row r="109" spans="1:12" ht="15" customHeight="1" x14ac:dyDescent="0.25">
      <c r="A109">
        <v>8108</v>
      </c>
      <c r="B109" t="s">
        <v>277</v>
      </c>
      <c r="C109" t="s">
        <v>120</v>
      </c>
      <c r="D109" t="s">
        <v>136</v>
      </c>
      <c r="E109" t="s">
        <v>137</v>
      </c>
      <c r="F109" t="s">
        <v>187</v>
      </c>
      <c r="G109" t="s">
        <v>202</v>
      </c>
      <c r="H109">
        <v>3</v>
      </c>
      <c r="I109">
        <v>9</v>
      </c>
      <c r="J109" s="3">
        <v>27</v>
      </c>
      <c r="K109" s="3">
        <v>9</v>
      </c>
      <c r="L109" s="3">
        <v>18</v>
      </c>
    </row>
    <row r="110" spans="1:12" ht="15" customHeight="1" x14ac:dyDescent="0.25">
      <c r="A110">
        <v>8109</v>
      </c>
      <c r="B110" t="s">
        <v>153</v>
      </c>
      <c r="C110" t="s">
        <v>96</v>
      </c>
      <c r="D110" t="s">
        <v>131</v>
      </c>
      <c r="E110" t="s">
        <v>155</v>
      </c>
      <c r="F110" t="s">
        <v>278</v>
      </c>
      <c r="G110" t="s">
        <v>172</v>
      </c>
      <c r="H110">
        <v>4</v>
      </c>
      <c r="I110">
        <v>140</v>
      </c>
      <c r="J110" s="3">
        <v>560</v>
      </c>
      <c r="K110" s="3">
        <v>260</v>
      </c>
      <c r="L110" s="3">
        <v>300</v>
      </c>
    </row>
    <row r="111" spans="1:12" ht="15" customHeight="1" x14ac:dyDescent="0.25">
      <c r="A111">
        <v>8110</v>
      </c>
      <c r="B111" t="s">
        <v>272</v>
      </c>
      <c r="C111" t="s">
        <v>120</v>
      </c>
      <c r="D111" t="s">
        <v>131</v>
      </c>
      <c r="E111" t="s">
        <v>132</v>
      </c>
      <c r="F111" t="s">
        <v>158</v>
      </c>
      <c r="G111" t="s">
        <v>139</v>
      </c>
      <c r="H111">
        <v>2</v>
      </c>
      <c r="I111">
        <v>190</v>
      </c>
      <c r="J111" s="3">
        <v>380</v>
      </c>
      <c r="K111" s="3">
        <v>180</v>
      </c>
      <c r="L111" s="3">
        <v>200</v>
      </c>
    </row>
    <row r="112" spans="1:12" ht="15" customHeight="1" x14ac:dyDescent="0.25">
      <c r="A112">
        <v>8111</v>
      </c>
      <c r="B112" t="s">
        <v>279</v>
      </c>
      <c r="C112" t="s">
        <v>120</v>
      </c>
      <c r="D112" t="s">
        <v>97</v>
      </c>
      <c r="E112" t="s">
        <v>157</v>
      </c>
      <c r="F112" t="s">
        <v>280</v>
      </c>
      <c r="G112" t="s">
        <v>142</v>
      </c>
      <c r="H112">
        <v>13</v>
      </c>
      <c r="I112">
        <v>25</v>
      </c>
      <c r="J112" s="3">
        <v>325</v>
      </c>
      <c r="K112" s="3">
        <v>104</v>
      </c>
      <c r="L112" s="3">
        <v>221</v>
      </c>
    </row>
    <row r="113" spans="1:12" ht="15" customHeight="1" x14ac:dyDescent="0.25">
      <c r="A113">
        <v>8112</v>
      </c>
      <c r="B113" t="s">
        <v>281</v>
      </c>
      <c r="C113" t="s">
        <v>96</v>
      </c>
      <c r="D113" t="s">
        <v>131</v>
      </c>
      <c r="E113" t="s">
        <v>144</v>
      </c>
      <c r="F113" t="s">
        <v>189</v>
      </c>
      <c r="G113" t="s">
        <v>202</v>
      </c>
      <c r="H113">
        <v>7</v>
      </c>
      <c r="I113">
        <v>380</v>
      </c>
      <c r="J113" s="3">
        <v>2660</v>
      </c>
      <c r="K113" s="3">
        <v>1260</v>
      </c>
      <c r="L113" s="3">
        <v>1400</v>
      </c>
    </row>
    <row r="114" spans="1:12" ht="15" customHeight="1" x14ac:dyDescent="0.25">
      <c r="A114">
        <v>8113</v>
      </c>
      <c r="B114" t="s">
        <v>282</v>
      </c>
      <c r="C114" t="s">
        <v>121</v>
      </c>
      <c r="D114" t="s">
        <v>97</v>
      </c>
      <c r="E114" t="s">
        <v>90</v>
      </c>
      <c r="F114" t="s">
        <v>230</v>
      </c>
      <c r="G114" t="s">
        <v>146</v>
      </c>
      <c r="H114">
        <v>6</v>
      </c>
      <c r="I114">
        <v>420</v>
      </c>
      <c r="J114" s="3">
        <v>2520</v>
      </c>
      <c r="K114" s="3">
        <v>1320</v>
      </c>
      <c r="L114" s="3">
        <v>1200</v>
      </c>
    </row>
    <row r="115" spans="1:12" ht="15" customHeight="1" x14ac:dyDescent="0.25">
      <c r="A115">
        <v>8114</v>
      </c>
      <c r="B115" t="s">
        <v>283</v>
      </c>
      <c r="C115" t="s">
        <v>120</v>
      </c>
      <c r="D115" t="s">
        <v>131</v>
      </c>
      <c r="E115" t="s">
        <v>148</v>
      </c>
      <c r="F115" t="s">
        <v>212</v>
      </c>
      <c r="G115" t="s">
        <v>134</v>
      </c>
      <c r="H115">
        <v>8</v>
      </c>
      <c r="I115">
        <v>160</v>
      </c>
      <c r="J115" s="3">
        <v>1280</v>
      </c>
      <c r="K115" s="3">
        <v>560</v>
      </c>
      <c r="L115" s="3">
        <v>720</v>
      </c>
    </row>
    <row r="116" spans="1:12" ht="15" customHeight="1" x14ac:dyDescent="0.25">
      <c r="A116">
        <v>8115</v>
      </c>
      <c r="B116" t="s">
        <v>284</v>
      </c>
      <c r="C116" t="s">
        <v>96</v>
      </c>
      <c r="D116" t="s">
        <v>97</v>
      </c>
      <c r="E116" t="s">
        <v>87</v>
      </c>
      <c r="F116" t="s">
        <v>152</v>
      </c>
      <c r="G116" t="s">
        <v>164</v>
      </c>
      <c r="H116">
        <v>15</v>
      </c>
      <c r="I116">
        <v>1200</v>
      </c>
      <c r="J116" s="3">
        <v>18000</v>
      </c>
      <c r="K116" s="3">
        <v>12750</v>
      </c>
      <c r="L116" s="3">
        <v>5250</v>
      </c>
    </row>
    <row r="117" spans="1:12" ht="15" customHeight="1" x14ac:dyDescent="0.25">
      <c r="A117">
        <v>8116</v>
      </c>
      <c r="B117" t="s">
        <v>285</v>
      </c>
      <c r="C117" t="s">
        <v>121</v>
      </c>
      <c r="D117" t="s">
        <v>97</v>
      </c>
      <c r="E117" t="s">
        <v>90</v>
      </c>
      <c r="F117" t="s">
        <v>133</v>
      </c>
      <c r="G117" t="s">
        <v>176</v>
      </c>
      <c r="H117">
        <v>9</v>
      </c>
      <c r="I117">
        <v>420</v>
      </c>
      <c r="J117" s="3">
        <v>3780</v>
      </c>
      <c r="K117" s="3">
        <v>1980</v>
      </c>
      <c r="L117" s="3">
        <v>1800</v>
      </c>
    </row>
    <row r="118" spans="1:12" ht="15" customHeight="1" x14ac:dyDescent="0.25">
      <c r="A118">
        <v>8117</v>
      </c>
      <c r="B118" t="s">
        <v>251</v>
      </c>
      <c r="C118" t="s">
        <v>119</v>
      </c>
      <c r="D118" t="s">
        <v>136</v>
      </c>
      <c r="E118" t="s">
        <v>137</v>
      </c>
      <c r="F118" t="s">
        <v>161</v>
      </c>
      <c r="G118" t="s">
        <v>164</v>
      </c>
      <c r="H118">
        <v>11</v>
      </c>
      <c r="I118">
        <v>9</v>
      </c>
      <c r="J118" s="3">
        <v>99</v>
      </c>
      <c r="K118" s="3">
        <v>33</v>
      </c>
      <c r="L118" s="3">
        <v>66</v>
      </c>
    </row>
    <row r="119" spans="1:12" ht="15" customHeight="1" x14ac:dyDescent="0.25">
      <c r="A119">
        <v>8118</v>
      </c>
      <c r="B119" t="s">
        <v>140</v>
      </c>
      <c r="C119" t="s">
        <v>120</v>
      </c>
      <c r="D119" t="s">
        <v>97</v>
      </c>
      <c r="E119" t="s">
        <v>157</v>
      </c>
      <c r="F119" t="s">
        <v>152</v>
      </c>
      <c r="G119" t="s">
        <v>134</v>
      </c>
      <c r="H119">
        <v>5</v>
      </c>
      <c r="I119">
        <v>25</v>
      </c>
      <c r="J119" s="3">
        <v>125</v>
      </c>
      <c r="K119" s="3">
        <v>40</v>
      </c>
      <c r="L119" s="3">
        <v>85</v>
      </c>
    </row>
    <row r="120" spans="1:12" ht="15" customHeight="1" x14ac:dyDescent="0.25">
      <c r="A120">
        <v>8119</v>
      </c>
      <c r="B120" t="s">
        <v>286</v>
      </c>
      <c r="C120" t="s">
        <v>119</v>
      </c>
      <c r="D120" t="s">
        <v>131</v>
      </c>
      <c r="E120" t="s">
        <v>155</v>
      </c>
      <c r="F120" t="s">
        <v>174</v>
      </c>
      <c r="G120" t="s">
        <v>164</v>
      </c>
      <c r="H120">
        <v>13</v>
      </c>
      <c r="I120">
        <v>140</v>
      </c>
      <c r="J120" s="3">
        <v>1820</v>
      </c>
      <c r="K120" s="3">
        <v>845</v>
      </c>
      <c r="L120" s="3">
        <v>975</v>
      </c>
    </row>
    <row r="121" spans="1:12" ht="15" customHeight="1" x14ac:dyDescent="0.25">
      <c r="A121">
        <v>8120</v>
      </c>
      <c r="B121" t="s">
        <v>213</v>
      </c>
      <c r="C121" t="s">
        <v>121</v>
      </c>
      <c r="D121" t="s">
        <v>97</v>
      </c>
      <c r="E121" t="s">
        <v>157</v>
      </c>
      <c r="F121" t="s">
        <v>217</v>
      </c>
      <c r="G121" t="s">
        <v>139</v>
      </c>
      <c r="H121">
        <v>5</v>
      </c>
      <c r="I121">
        <v>25</v>
      </c>
      <c r="J121" s="3">
        <v>125</v>
      </c>
      <c r="K121" s="3">
        <v>40</v>
      </c>
      <c r="L121" s="3">
        <v>85</v>
      </c>
    </row>
    <row r="122" spans="1:12" ht="15" customHeight="1" x14ac:dyDescent="0.25">
      <c r="A122">
        <v>8121</v>
      </c>
      <c r="B122" t="s">
        <v>287</v>
      </c>
      <c r="C122" t="s">
        <v>120</v>
      </c>
      <c r="D122" t="s">
        <v>97</v>
      </c>
      <c r="E122" t="s">
        <v>151</v>
      </c>
      <c r="F122" t="s">
        <v>252</v>
      </c>
      <c r="G122" t="s">
        <v>142</v>
      </c>
      <c r="H122">
        <v>12</v>
      </c>
      <c r="I122">
        <v>75</v>
      </c>
      <c r="J122" s="3">
        <v>900</v>
      </c>
      <c r="K122" s="3">
        <v>360</v>
      </c>
      <c r="L122" s="3">
        <v>540</v>
      </c>
    </row>
    <row r="123" spans="1:12" ht="15" customHeight="1" x14ac:dyDescent="0.25">
      <c r="A123">
        <v>8122</v>
      </c>
      <c r="B123" t="s">
        <v>288</v>
      </c>
      <c r="C123" t="s">
        <v>121</v>
      </c>
      <c r="D123" t="s">
        <v>131</v>
      </c>
      <c r="E123" t="s">
        <v>144</v>
      </c>
      <c r="F123" t="s">
        <v>201</v>
      </c>
      <c r="G123" t="s">
        <v>202</v>
      </c>
      <c r="H123">
        <v>9</v>
      </c>
      <c r="I123">
        <v>380</v>
      </c>
      <c r="J123" s="3">
        <v>3420</v>
      </c>
      <c r="K123" s="3">
        <v>1620</v>
      </c>
      <c r="L123" s="3">
        <v>1800</v>
      </c>
    </row>
    <row r="124" spans="1:12" ht="15" customHeight="1" x14ac:dyDescent="0.25">
      <c r="A124">
        <v>8123</v>
      </c>
      <c r="B124" t="s">
        <v>289</v>
      </c>
      <c r="C124" t="s">
        <v>121</v>
      </c>
      <c r="D124" t="s">
        <v>97</v>
      </c>
      <c r="E124" t="s">
        <v>90</v>
      </c>
      <c r="F124" t="s">
        <v>141</v>
      </c>
      <c r="G124" t="s">
        <v>172</v>
      </c>
      <c r="H124">
        <v>10</v>
      </c>
      <c r="I124">
        <v>420</v>
      </c>
      <c r="J124" s="3">
        <v>4200</v>
      </c>
      <c r="K124" s="3">
        <v>2200</v>
      </c>
      <c r="L124" s="3">
        <v>2000</v>
      </c>
    </row>
    <row r="125" spans="1:12" ht="15" customHeight="1" x14ac:dyDescent="0.25">
      <c r="A125">
        <v>8124</v>
      </c>
      <c r="B125" t="s">
        <v>290</v>
      </c>
      <c r="C125" t="s">
        <v>120</v>
      </c>
      <c r="D125" t="s">
        <v>131</v>
      </c>
      <c r="E125" t="s">
        <v>132</v>
      </c>
      <c r="F125" t="s">
        <v>168</v>
      </c>
      <c r="G125" t="s">
        <v>202</v>
      </c>
      <c r="H125">
        <v>9</v>
      </c>
      <c r="I125">
        <v>190</v>
      </c>
      <c r="J125" s="3">
        <v>1710</v>
      </c>
      <c r="K125" s="3">
        <v>810</v>
      </c>
      <c r="L125" s="3">
        <v>900</v>
      </c>
    </row>
    <row r="126" spans="1:12" ht="15" customHeight="1" x14ac:dyDescent="0.25">
      <c r="A126">
        <v>8125</v>
      </c>
      <c r="B126" t="s">
        <v>291</v>
      </c>
      <c r="C126" t="s">
        <v>96</v>
      </c>
      <c r="D126" t="s">
        <v>131</v>
      </c>
      <c r="E126" t="s">
        <v>144</v>
      </c>
      <c r="F126" t="s">
        <v>243</v>
      </c>
      <c r="G126" t="s">
        <v>139</v>
      </c>
      <c r="H126">
        <v>3</v>
      </c>
      <c r="I126">
        <v>380</v>
      </c>
      <c r="J126" s="3">
        <v>1140</v>
      </c>
      <c r="K126" s="3">
        <v>540</v>
      </c>
      <c r="L126" s="3">
        <v>600</v>
      </c>
    </row>
    <row r="127" spans="1:12" ht="15" customHeight="1" x14ac:dyDescent="0.25">
      <c r="A127">
        <v>8126</v>
      </c>
      <c r="B127" t="s">
        <v>292</v>
      </c>
      <c r="C127" t="s">
        <v>121</v>
      </c>
      <c r="D127" t="s">
        <v>131</v>
      </c>
      <c r="E127" t="s">
        <v>144</v>
      </c>
      <c r="F127" t="s">
        <v>189</v>
      </c>
      <c r="G127" t="s">
        <v>146</v>
      </c>
      <c r="H127">
        <v>12</v>
      </c>
      <c r="I127">
        <v>380</v>
      </c>
      <c r="J127" s="3">
        <v>4560</v>
      </c>
      <c r="K127" s="3">
        <v>2160</v>
      </c>
      <c r="L127" s="3">
        <v>2400</v>
      </c>
    </row>
    <row r="128" spans="1:12" ht="15" customHeight="1" x14ac:dyDescent="0.25">
      <c r="A128">
        <v>8127</v>
      </c>
      <c r="B128" t="s">
        <v>293</v>
      </c>
      <c r="C128" t="s">
        <v>96</v>
      </c>
      <c r="D128" t="s">
        <v>97</v>
      </c>
      <c r="E128" t="s">
        <v>90</v>
      </c>
      <c r="F128" t="s">
        <v>138</v>
      </c>
      <c r="G128" t="s">
        <v>176</v>
      </c>
      <c r="H128">
        <v>12</v>
      </c>
      <c r="I128">
        <v>420</v>
      </c>
      <c r="J128" s="3">
        <v>5040</v>
      </c>
      <c r="K128" s="3">
        <v>2640</v>
      </c>
      <c r="L128" s="3">
        <v>2400</v>
      </c>
    </row>
    <row r="129" spans="1:12" ht="15" customHeight="1" x14ac:dyDescent="0.25">
      <c r="A129">
        <v>8128</v>
      </c>
      <c r="B129" t="s">
        <v>294</v>
      </c>
      <c r="C129" t="s">
        <v>121</v>
      </c>
      <c r="D129" t="s">
        <v>131</v>
      </c>
      <c r="E129" t="s">
        <v>155</v>
      </c>
      <c r="F129" t="s">
        <v>187</v>
      </c>
      <c r="G129" t="s">
        <v>164</v>
      </c>
      <c r="H129">
        <v>6</v>
      </c>
      <c r="I129">
        <v>140</v>
      </c>
      <c r="J129" s="3">
        <v>840</v>
      </c>
      <c r="K129" s="3">
        <v>390</v>
      </c>
      <c r="L129" s="3">
        <v>450</v>
      </c>
    </row>
    <row r="130" spans="1:12" ht="15" customHeight="1" x14ac:dyDescent="0.25">
      <c r="A130">
        <v>8129</v>
      </c>
      <c r="B130" t="s">
        <v>295</v>
      </c>
      <c r="C130" t="s">
        <v>120</v>
      </c>
      <c r="D130" t="s">
        <v>97</v>
      </c>
      <c r="E130" t="s">
        <v>87</v>
      </c>
      <c r="F130" t="s">
        <v>166</v>
      </c>
      <c r="G130" t="s">
        <v>146</v>
      </c>
      <c r="H130">
        <v>4</v>
      </c>
      <c r="I130">
        <v>1200</v>
      </c>
      <c r="J130" s="3">
        <v>4800</v>
      </c>
      <c r="K130" s="3">
        <v>3400</v>
      </c>
      <c r="L130" s="3">
        <v>1400</v>
      </c>
    </row>
    <row r="131" spans="1:12" ht="15" customHeight="1" x14ac:dyDescent="0.25">
      <c r="A131">
        <v>8130</v>
      </c>
      <c r="B131" t="s">
        <v>296</v>
      </c>
      <c r="C131" t="s">
        <v>96</v>
      </c>
      <c r="D131" t="s">
        <v>131</v>
      </c>
      <c r="E131" t="s">
        <v>132</v>
      </c>
      <c r="F131" t="s">
        <v>256</v>
      </c>
      <c r="G131" t="s">
        <v>164</v>
      </c>
      <c r="H131">
        <v>1</v>
      </c>
      <c r="I131">
        <v>190</v>
      </c>
      <c r="J131" s="3">
        <v>190</v>
      </c>
      <c r="K131" s="3">
        <v>90</v>
      </c>
      <c r="L131" s="3">
        <v>100</v>
      </c>
    </row>
    <row r="132" spans="1:12" ht="15" customHeight="1" x14ac:dyDescent="0.25">
      <c r="A132">
        <v>8131</v>
      </c>
      <c r="B132" t="s">
        <v>297</v>
      </c>
      <c r="C132" t="s">
        <v>119</v>
      </c>
      <c r="D132" t="s">
        <v>131</v>
      </c>
      <c r="E132" t="s">
        <v>144</v>
      </c>
      <c r="F132" t="s">
        <v>280</v>
      </c>
      <c r="G132" t="s">
        <v>142</v>
      </c>
      <c r="H132">
        <v>13</v>
      </c>
      <c r="I132">
        <v>380</v>
      </c>
      <c r="J132" s="3">
        <v>4940</v>
      </c>
      <c r="K132" s="3">
        <v>2340</v>
      </c>
      <c r="L132" s="3">
        <v>2600</v>
      </c>
    </row>
    <row r="133" spans="1:12" ht="15" customHeight="1" x14ac:dyDescent="0.25">
      <c r="A133">
        <v>8132</v>
      </c>
      <c r="B133" t="s">
        <v>200</v>
      </c>
      <c r="C133" t="s">
        <v>120</v>
      </c>
      <c r="D133" t="s">
        <v>131</v>
      </c>
      <c r="E133" t="s">
        <v>144</v>
      </c>
      <c r="F133" t="s">
        <v>201</v>
      </c>
      <c r="G133" t="s">
        <v>134</v>
      </c>
      <c r="H133">
        <v>14</v>
      </c>
      <c r="I133">
        <v>380</v>
      </c>
      <c r="J133" s="3">
        <v>5320</v>
      </c>
      <c r="K133" s="3">
        <v>2520</v>
      </c>
      <c r="L133" s="3">
        <v>2800</v>
      </c>
    </row>
    <row r="134" spans="1:12" ht="15" customHeight="1" x14ac:dyDescent="0.25">
      <c r="A134">
        <v>8133</v>
      </c>
      <c r="B134" t="s">
        <v>298</v>
      </c>
      <c r="C134" t="s">
        <v>96</v>
      </c>
      <c r="D134" t="s">
        <v>131</v>
      </c>
      <c r="E134" t="s">
        <v>155</v>
      </c>
      <c r="F134" t="s">
        <v>161</v>
      </c>
      <c r="G134" t="s">
        <v>164</v>
      </c>
      <c r="H134">
        <v>11</v>
      </c>
      <c r="I134">
        <v>140</v>
      </c>
      <c r="J134" s="3">
        <v>1540</v>
      </c>
      <c r="K134" s="3">
        <v>715</v>
      </c>
      <c r="L134" s="3">
        <v>825</v>
      </c>
    </row>
    <row r="135" spans="1:12" ht="15" customHeight="1" x14ac:dyDescent="0.25">
      <c r="A135">
        <v>8134</v>
      </c>
      <c r="B135" t="s">
        <v>299</v>
      </c>
      <c r="C135" t="s">
        <v>96</v>
      </c>
      <c r="D135" t="s">
        <v>136</v>
      </c>
      <c r="E135" t="s">
        <v>160</v>
      </c>
      <c r="F135" t="s">
        <v>195</v>
      </c>
      <c r="G135" t="s">
        <v>202</v>
      </c>
      <c r="H135">
        <v>7</v>
      </c>
      <c r="I135">
        <v>15</v>
      </c>
      <c r="J135" s="3">
        <v>105</v>
      </c>
      <c r="K135" s="3">
        <v>35</v>
      </c>
      <c r="L135" s="3">
        <v>70</v>
      </c>
    </row>
    <row r="136" spans="1:12" ht="15" customHeight="1" x14ac:dyDescent="0.25">
      <c r="A136">
        <v>8135</v>
      </c>
      <c r="B136" t="s">
        <v>300</v>
      </c>
      <c r="C136" t="s">
        <v>120</v>
      </c>
      <c r="D136" t="s">
        <v>131</v>
      </c>
      <c r="E136" t="s">
        <v>155</v>
      </c>
      <c r="F136" t="s">
        <v>262</v>
      </c>
      <c r="G136" t="s">
        <v>202</v>
      </c>
      <c r="H136">
        <v>8</v>
      </c>
      <c r="I136">
        <v>140</v>
      </c>
      <c r="J136" s="3">
        <v>1120</v>
      </c>
      <c r="K136" s="3">
        <v>520</v>
      </c>
      <c r="L136" s="3">
        <v>600</v>
      </c>
    </row>
    <row r="137" spans="1:12" ht="15" customHeight="1" x14ac:dyDescent="0.25">
      <c r="A137">
        <v>8136</v>
      </c>
      <c r="B137" t="s">
        <v>301</v>
      </c>
      <c r="C137" t="s">
        <v>120</v>
      </c>
      <c r="D137" t="s">
        <v>97</v>
      </c>
      <c r="E137" t="s">
        <v>151</v>
      </c>
      <c r="F137" t="s">
        <v>252</v>
      </c>
      <c r="G137" t="s">
        <v>164</v>
      </c>
      <c r="H137">
        <v>2</v>
      </c>
      <c r="I137">
        <v>75</v>
      </c>
      <c r="J137" s="3">
        <v>150</v>
      </c>
      <c r="K137" s="3">
        <v>60</v>
      </c>
      <c r="L137" s="3">
        <v>90</v>
      </c>
    </row>
    <row r="138" spans="1:12" ht="15" customHeight="1" x14ac:dyDescent="0.25">
      <c r="A138">
        <v>8137</v>
      </c>
      <c r="B138" t="s">
        <v>220</v>
      </c>
      <c r="C138" t="s">
        <v>121</v>
      </c>
      <c r="D138" t="s">
        <v>97</v>
      </c>
      <c r="E138" t="s">
        <v>90</v>
      </c>
      <c r="F138" t="s">
        <v>237</v>
      </c>
      <c r="G138" t="s">
        <v>142</v>
      </c>
      <c r="H138">
        <v>7</v>
      </c>
      <c r="I138">
        <v>420</v>
      </c>
      <c r="J138" s="3">
        <v>2940</v>
      </c>
      <c r="K138" s="3">
        <v>1540</v>
      </c>
      <c r="L138" s="3">
        <v>1400</v>
      </c>
    </row>
    <row r="139" spans="1:12" ht="15" customHeight="1" x14ac:dyDescent="0.25">
      <c r="A139">
        <v>8138</v>
      </c>
      <c r="B139" t="s">
        <v>302</v>
      </c>
      <c r="C139" t="s">
        <v>119</v>
      </c>
      <c r="D139" t="s">
        <v>97</v>
      </c>
      <c r="E139" t="s">
        <v>151</v>
      </c>
      <c r="F139" t="s">
        <v>163</v>
      </c>
      <c r="G139" t="s">
        <v>164</v>
      </c>
      <c r="H139">
        <v>1</v>
      </c>
      <c r="I139">
        <v>75</v>
      </c>
      <c r="J139" s="3">
        <v>75</v>
      </c>
      <c r="K139" s="3">
        <v>30</v>
      </c>
      <c r="L139" s="3">
        <v>45</v>
      </c>
    </row>
    <row r="140" spans="1:12" ht="15" customHeight="1" x14ac:dyDescent="0.25">
      <c r="A140">
        <v>8139</v>
      </c>
      <c r="B140" t="s">
        <v>302</v>
      </c>
      <c r="C140" t="s">
        <v>121</v>
      </c>
      <c r="D140" t="s">
        <v>97</v>
      </c>
      <c r="E140" t="s">
        <v>151</v>
      </c>
      <c r="F140" t="s">
        <v>225</v>
      </c>
      <c r="G140" t="s">
        <v>176</v>
      </c>
      <c r="H140">
        <v>15</v>
      </c>
      <c r="I140">
        <v>75</v>
      </c>
      <c r="J140" s="3">
        <v>1125</v>
      </c>
      <c r="K140" s="3">
        <v>450</v>
      </c>
      <c r="L140" s="3">
        <v>675</v>
      </c>
    </row>
    <row r="141" spans="1:12" ht="15" customHeight="1" x14ac:dyDescent="0.25">
      <c r="A141">
        <v>8140</v>
      </c>
      <c r="B141" t="s">
        <v>303</v>
      </c>
      <c r="C141" t="s">
        <v>96</v>
      </c>
      <c r="D141" t="s">
        <v>136</v>
      </c>
      <c r="E141" t="s">
        <v>160</v>
      </c>
      <c r="F141" t="s">
        <v>230</v>
      </c>
      <c r="G141" t="s">
        <v>139</v>
      </c>
      <c r="H141">
        <v>6</v>
      </c>
      <c r="I141">
        <v>15</v>
      </c>
      <c r="J141" s="3">
        <v>90</v>
      </c>
      <c r="K141" s="3">
        <v>30</v>
      </c>
      <c r="L141" s="3">
        <v>60</v>
      </c>
    </row>
    <row r="142" spans="1:12" ht="15" customHeight="1" x14ac:dyDescent="0.25">
      <c r="A142">
        <v>8141</v>
      </c>
      <c r="B142" t="s">
        <v>245</v>
      </c>
      <c r="C142" t="s">
        <v>96</v>
      </c>
      <c r="D142" t="s">
        <v>97</v>
      </c>
      <c r="E142" t="s">
        <v>157</v>
      </c>
      <c r="F142" t="s">
        <v>243</v>
      </c>
      <c r="G142" t="s">
        <v>176</v>
      </c>
      <c r="H142">
        <v>5</v>
      </c>
      <c r="I142">
        <v>25</v>
      </c>
      <c r="J142" s="3">
        <v>125</v>
      </c>
      <c r="K142" s="3">
        <v>40</v>
      </c>
      <c r="L142" s="3">
        <v>85</v>
      </c>
    </row>
    <row r="143" spans="1:12" ht="15" customHeight="1" x14ac:dyDescent="0.25">
      <c r="A143">
        <v>8142</v>
      </c>
      <c r="B143" t="s">
        <v>179</v>
      </c>
      <c r="C143" t="s">
        <v>120</v>
      </c>
      <c r="D143" t="s">
        <v>131</v>
      </c>
      <c r="E143" t="s">
        <v>155</v>
      </c>
      <c r="F143" t="s">
        <v>158</v>
      </c>
      <c r="G143" t="s">
        <v>202</v>
      </c>
      <c r="H143">
        <v>13</v>
      </c>
      <c r="I143">
        <v>140</v>
      </c>
      <c r="J143" s="3">
        <v>1820</v>
      </c>
      <c r="K143" s="3">
        <v>845</v>
      </c>
      <c r="L143" s="3">
        <v>975</v>
      </c>
    </row>
    <row r="144" spans="1:12" ht="15" customHeight="1" x14ac:dyDescent="0.25">
      <c r="A144">
        <v>8143</v>
      </c>
      <c r="B144" t="s">
        <v>193</v>
      </c>
      <c r="C144" t="s">
        <v>120</v>
      </c>
      <c r="D144" t="s">
        <v>97</v>
      </c>
      <c r="E144" t="s">
        <v>87</v>
      </c>
      <c r="F144" t="s">
        <v>256</v>
      </c>
      <c r="G144" t="s">
        <v>139</v>
      </c>
      <c r="H144">
        <v>3</v>
      </c>
      <c r="I144">
        <v>1200</v>
      </c>
      <c r="J144" s="3">
        <v>3600</v>
      </c>
      <c r="K144" s="3">
        <v>2550</v>
      </c>
      <c r="L144" s="3">
        <v>1050</v>
      </c>
    </row>
    <row r="145" spans="1:12" ht="15" customHeight="1" x14ac:dyDescent="0.25">
      <c r="A145">
        <v>8144</v>
      </c>
      <c r="B145" t="s">
        <v>304</v>
      </c>
      <c r="C145" t="s">
        <v>96</v>
      </c>
      <c r="D145" t="s">
        <v>97</v>
      </c>
      <c r="E145" t="s">
        <v>151</v>
      </c>
      <c r="F145" t="s">
        <v>170</v>
      </c>
      <c r="G145" t="s">
        <v>139</v>
      </c>
      <c r="H145">
        <v>10</v>
      </c>
      <c r="I145">
        <v>75</v>
      </c>
      <c r="J145" s="3">
        <v>750</v>
      </c>
      <c r="K145" s="3">
        <v>300</v>
      </c>
      <c r="L145" s="3">
        <v>450</v>
      </c>
    </row>
    <row r="146" spans="1:12" ht="15" customHeight="1" x14ac:dyDescent="0.25">
      <c r="A146">
        <v>8145</v>
      </c>
      <c r="B146" t="s">
        <v>305</v>
      </c>
      <c r="C146" t="s">
        <v>120</v>
      </c>
      <c r="D146" t="s">
        <v>131</v>
      </c>
      <c r="E146" t="s">
        <v>155</v>
      </c>
      <c r="F146" t="s">
        <v>163</v>
      </c>
      <c r="G146" t="s">
        <v>164</v>
      </c>
      <c r="H146">
        <v>15</v>
      </c>
      <c r="I146">
        <v>140</v>
      </c>
      <c r="J146" s="3">
        <v>2100</v>
      </c>
      <c r="K146" s="3">
        <v>975</v>
      </c>
      <c r="L146" s="3">
        <v>1125</v>
      </c>
    </row>
    <row r="147" spans="1:12" ht="15" customHeight="1" x14ac:dyDescent="0.25">
      <c r="A147">
        <v>8146</v>
      </c>
      <c r="B147" t="s">
        <v>199</v>
      </c>
      <c r="C147" t="s">
        <v>119</v>
      </c>
      <c r="D147" t="s">
        <v>131</v>
      </c>
      <c r="E147" t="s">
        <v>144</v>
      </c>
      <c r="F147" t="s">
        <v>161</v>
      </c>
      <c r="G147" t="s">
        <v>164</v>
      </c>
      <c r="H147">
        <v>12</v>
      </c>
      <c r="I147">
        <v>380</v>
      </c>
      <c r="J147" s="3">
        <v>4560</v>
      </c>
      <c r="K147" s="3">
        <v>2160</v>
      </c>
      <c r="L147" s="3">
        <v>2400</v>
      </c>
    </row>
    <row r="148" spans="1:12" ht="15" customHeight="1" x14ac:dyDescent="0.25">
      <c r="A148">
        <v>8147</v>
      </c>
      <c r="B148" t="s">
        <v>306</v>
      </c>
      <c r="C148" t="s">
        <v>120</v>
      </c>
      <c r="D148" t="s">
        <v>131</v>
      </c>
      <c r="E148" t="s">
        <v>144</v>
      </c>
      <c r="F148" t="s">
        <v>280</v>
      </c>
      <c r="G148" t="s">
        <v>164</v>
      </c>
      <c r="H148">
        <v>5</v>
      </c>
      <c r="I148">
        <v>380</v>
      </c>
      <c r="J148" s="3">
        <v>1900</v>
      </c>
      <c r="K148" s="3">
        <v>900</v>
      </c>
      <c r="L148" s="3">
        <v>1000</v>
      </c>
    </row>
    <row r="149" spans="1:12" ht="15" customHeight="1" x14ac:dyDescent="0.25">
      <c r="A149">
        <v>8148</v>
      </c>
      <c r="B149" t="s">
        <v>307</v>
      </c>
      <c r="C149" t="s">
        <v>121</v>
      </c>
      <c r="D149" t="s">
        <v>131</v>
      </c>
      <c r="E149" t="s">
        <v>144</v>
      </c>
      <c r="F149" t="s">
        <v>238</v>
      </c>
      <c r="G149" t="s">
        <v>134</v>
      </c>
      <c r="H149">
        <v>2</v>
      </c>
      <c r="I149">
        <v>380</v>
      </c>
      <c r="J149" s="3">
        <v>760</v>
      </c>
      <c r="K149" s="3">
        <v>360</v>
      </c>
      <c r="L149" s="3">
        <v>400</v>
      </c>
    </row>
    <row r="150" spans="1:12" ht="15" customHeight="1" x14ac:dyDescent="0.25">
      <c r="A150">
        <v>8149</v>
      </c>
      <c r="B150" t="s">
        <v>308</v>
      </c>
      <c r="C150" t="s">
        <v>96</v>
      </c>
      <c r="D150" t="s">
        <v>131</v>
      </c>
      <c r="E150" t="s">
        <v>155</v>
      </c>
      <c r="F150" t="s">
        <v>217</v>
      </c>
      <c r="G150" t="s">
        <v>202</v>
      </c>
      <c r="H150">
        <v>12</v>
      </c>
      <c r="I150">
        <v>140</v>
      </c>
      <c r="J150" s="3">
        <v>1680</v>
      </c>
      <c r="K150" s="3">
        <v>780</v>
      </c>
      <c r="L150" s="3">
        <v>900</v>
      </c>
    </row>
    <row r="151" spans="1:12" ht="15" customHeight="1" x14ac:dyDescent="0.25">
      <c r="A151">
        <v>8150</v>
      </c>
      <c r="B151" t="s">
        <v>253</v>
      </c>
      <c r="C151" t="s">
        <v>121</v>
      </c>
      <c r="D151" t="s">
        <v>136</v>
      </c>
      <c r="E151" t="s">
        <v>137</v>
      </c>
      <c r="F151" t="s">
        <v>180</v>
      </c>
      <c r="G151" t="s">
        <v>172</v>
      </c>
      <c r="H151">
        <v>2</v>
      </c>
      <c r="I151">
        <v>9</v>
      </c>
      <c r="J151" s="3">
        <v>18</v>
      </c>
      <c r="K151" s="3">
        <v>6</v>
      </c>
      <c r="L151" s="3">
        <v>12</v>
      </c>
    </row>
    <row r="152" spans="1:12" ht="15" customHeight="1" x14ac:dyDescent="0.25">
      <c r="A152">
        <v>8151</v>
      </c>
      <c r="B152" t="s">
        <v>309</v>
      </c>
      <c r="C152" t="s">
        <v>120</v>
      </c>
      <c r="D152" t="s">
        <v>131</v>
      </c>
      <c r="E152" t="s">
        <v>148</v>
      </c>
      <c r="F152" t="s">
        <v>197</v>
      </c>
      <c r="G152" t="s">
        <v>164</v>
      </c>
      <c r="H152">
        <v>13</v>
      </c>
      <c r="I152">
        <v>160</v>
      </c>
      <c r="J152" s="3">
        <v>2080</v>
      </c>
      <c r="K152" s="3">
        <v>910</v>
      </c>
      <c r="L152" s="3">
        <v>1170</v>
      </c>
    </row>
    <row r="153" spans="1:12" ht="15" customHeight="1" x14ac:dyDescent="0.25">
      <c r="A153">
        <v>8152</v>
      </c>
      <c r="B153" t="s">
        <v>310</v>
      </c>
      <c r="C153" t="s">
        <v>96</v>
      </c>
      <c r="D153" t="s">
        <v>97</v>
      </c>
      <c r="E153" t="s">
        <v>87</v>
      </c>
      <c r="F153" t="s">
        <v>217</v>
      </c>
      <c r="G153" t="s">
        <v>142</v>
      </c>
      <c r="H153">
        <v>11</v>
      </c>
      <c r="I153">
        <v>1200</v>
      </c>
      <c r="J153" s="3">
        <v>13200</v>
      </c>
      <c r="K153" s="3">
        <v>9350</v>
      </c>
      <c r="L153" s="3">
        <v>3850</v>
      </c>
    </row>
    <row r="154" spans="1:12" ht="15" customHeight="1" x14ac:dyDescent="0.25">
      <c r="A154">
        <v>8153</v>
      </c>
      <c r="B154" t="s">
        <v>311</v>
      </c>
      <c r="C154" t="s">
        <v>121</v>
      </c>
      <c r="D154" t="s">
        <v>97</v>
      </c>
      <c r="E154" t="s">
        <v>151</v>
      </c>
      <c r="F154" t="s">
        <v>217</v>
      </c>
      <c r="G154" t="s">
        <v>134</v>
      </c>
      <c r="H154">
        <v>10</v>
      </c>
      <c r="I154">
        <v>75</v>
      </c>
      <c r="J154" s="3">
        <v>750</v>
      </c>
      <c r="K154" s="3">
        <v>300</v>
      </c>
      <c r="L154" s="3">
        <v>450</v>
      </c>
    </row>
    <row r="155" spans="1:12" ht="15" customHeight="1" x14ac:dyDescent="0.25">
      <c r="A155">
        <v>8154</v>
      </c>
      <c r="B155" t="s">
        <v>312</v>
      </c>
      <c r="C155" t="s">
        <v>119</v>
      </c>
      <c r="D155" t="s">
        <v>131</v>
      </c>
      <c r="E155" t="s">
        <v>155</v>
      </c>
      <c r="F155" t="s">
        <v>280</v>
      </c>
      <c r="G155" t="s">
        <v>164</v>
      </c>
      <c r="H155">
        <v>10</v>
      </c>
      <c r="I155">
        <v>140</v>
      </c>
      <c r="J155" s="3">
        <v>1400</v>
      </c>
      <c r="K155" s="3">
        <v>650</v>
      </c>
      <c r="L155" s="3">
        <v>750</v>
      </c>
    </row>
    <row r="156" spans="1:12" ht="15" customHeight="1" x14ac:dyDescent="0.25">
      <c r="A156">
        <v>8155</v>
      </c>
      <c r="B156" t="s">
        <v>313</v>
      </c>
      <c r="C156" t="s">
        <v>120</v>
      </c>
      <c r="D156" t="s">
        <v>131</v>
      </c>
      <c r="E156" t="s">
        <v>155</v>
      </c>
      <c r="F156" t="s">
        <v>166</v>
      </c>
      <c r="G156" t="s">
        <v>164</v>
      </c>
      <c r="H156">
        <v>3</v>
      </c>
      <c r="I156">
        <v>140</v>
      </c>
      <c r="J156" s="3">
        <v>420</v>
      </c>
      <c r="K156" s="3">
        <v>195</v>
      </c>
      <c r="L156" s="3">
        <v>225</v>
      </c>
    </row>
    <row r="157" spans="1:12" ht="15" customHeight="1" x14ac:dyDescent="0.25">
      <c r="A157">
        <v>8156</v>
      </c>
      <c r="B157" t="s">
        <v>314</v>
      </c>
      <c r="C157" t="s">
        <v>119</v>
      </c>
      <c r="D157" t="s">
        <v>131</v>
      </c>
      <c r="E157" t="s">
        <v>132</v>
      </c>
      <c r="F157" t="s">
        <v>234</v>
      </c>
      <c r="G157" t="s">
        <v>202</v>
      </c>
      <c r="H157">
        <v>9</v>
      </c>
      <c r="I157">
        <v>190</v>
      </c>
      <c r="J157" s="3">
        <v>1710</v>
      </c>
      <c r="K157" s="3">
        <v>810</v>
      </c>
      <c r="L157" s="3">
        <v>900</v>
      </c>
    </row>
    <row r="158" spans="1:12" ht="15" customHeight="1" x14ac:dyDescent="0.25">
      <c r="A158">
        <v>8157</v>
      </c>
      <c r="B158" t="s">
        <v>315</v>
      </c>
      <c r="C158" t="s">
        <v>120</v>
      </c>
      <c r="D158" t="s">
        <v>131</v>
      </c>
      <c r="E158" t="s">
        <v>144</v>
      </c>
      <c r="F158" t="s">
        <v>238</v>
      </c>
      <c r="G158" t="s">
        <v>176</v>
      </c>
      <c r="H158">
        <v>15</v>
      </c>
      <c r="I158">
        <v>380</v>
      </c>
      <c r="J158" s="3">
        <v>5700</v>
      </c>
      <c r="K158" s="3">
        <v>2700</v>
      </c>
      <c r="L158" s="3">
        <v>3000</v>
      </c>
    </row>
    <row r="159" spans="1:12" ht="15" customHeight="1" x14ac:dyDescent="0.25">
      <c r="A159">
        <v>8158</v>
      </c>
      <c r="B159" t="s">
        <v>315</v>
      </c>
      <c r="C159" t="s">
        <v>121</v>
      </c>
      <c r="D159" t="s">
        <v>97</v>
      </c>
      <c r="E159" t="s">
        <v>90</v>
      </c>
      <c r="F159" t="s">
        <v>237</v>
      </c>
      <c r="G159" t="s">
        <v>134</v>
      </c>
      <c r="H159">
        <v>9</v>
      </c>
      <c r="I159">
        <v>420</v>
      </c>
      <c r="J159" s="3">
        <v>3780</v>
      </c>
      <c r="K159" s="3">
        <v>1980</v>
      </c>
      <c r="L159" s="3">
        <v>1800</v>
      </c>
    </row>
    <row r="160" spans="1:12" ht="15" customHeight="1" x14ac:dyDescent="0.25">
      <c r="A160">
        <v>8159</v>
      </c>
      <c r="B160" t="s">
        <v>235</v>
      </c>
      <c r="C160" t="s">
        <v>119</v>
      </c>
      <c r="D160" t="s">
        <v>131</v>
      </c>
      <c r="E160" t="s">
        <v>144</v>
      </c>
      <c r="F160" t="s">
        <v>166</v>
      </c>
      <c r="G160" t="s">
        <v>176</v>
      </c>
      <c r="H160">
        <v>11</v>
      </c>
      <c r="I160">
        <v>380</v>
      </c>
      <c r="J160" s="3">
        <v>4180</v>
      </c>
      <c r="K160" s="3">
        <v>1980</v>
      </c>
      <c r="L160" s="3">
        <v>2200</v>
      </c>
    </row>
    <row r="161" spans="1:12" ht="15" customHeight="1" x14ac:dyDescent="0.25">
      <c r="A161">
        <v>8160</v>
      </c>
      <c r="B161" t="s">
        <v>316</v>
      </c>
      <c r="C161" t="s">
        <v>121</v>
      </c>
      <c r="D161" t="s">
        <v>136</v>
      </c>
      <c r="E161" t="s">
        <v>160</v>
      </c>
      <c r="F161" t="s">
        <v>225</v>
      </c>
      <c r="G161" t="s">
        <v>139</v>
      </c>
      <c r="H161">
        <v>7</v>
      </c>
      <c r="I161">
        <v>15</v>
      </c>
      <c r="J161" s="3">
        <v>105</v>
      </c>
      <c r="K161" s="3">
        <v>35</v>
      </c>
      <c r="L161" s="3">
        <v>70</v>
      </c>
    </row>
    <row r="162" spans="1:12" ht="15" customHeight="1" x14ac:dyDescent="0.25">
      <c r="A162">
        <v>8161</v>
      </c>
      <c r="B162" t="s">
        <v>317</v>
      </c>
      <c r="C162" t="s">
        <v>96</v>
      </c>
      <c r="D162" t="s">
        <v>136</v>
      </c>
      <c r="E162" t="s">
        <v>160</v>
      </c>
      <c r="F162" t="s">
        <v>209</v>
      </c>
      <c r="G162" t="s">
        <v>172</v>
      </c>
      <c r="H162">
        <v>9</v>
      </c>
      <c r="I162">
        <v>15</v>
      </c>
      <c r="J162" s="3">
        <v>135</v>
      </c>
      <c r="K162" s="3">
        <v>45</v>
      </c>
      <c r="L162" s="3">
        <v>90</v>
      </c>
    </row>
    <row r="163" spans="1:12" ht="15" customHeight="1" x14ac:dyDescent="0.25">
      <c r="A163">
        <v>8162</v>
      </c>
      <c r="B163" t="s">
        <v>173</v>
      </c>
      <c r="C163" t="s">
        <v>119</v>
      </c>
      <c r="D163" t="s">
        <v>136</v>
      </c>
      <c r="E163" t="s">
        <v>137</v>
      </c>
      <c r="F163" t="s">
        <v>232</v>
      </c>
      <c r="G163" t="s">
        <v>164</v>
      </c>
      <c r="H163">
        <v>7</v>
      </c>
      <c r="I163">
        <v>9</v>
      </c>
      <c r="J163" s="3">
        <v>63</v>
      </c>
      <c r="K163" s="3">
        <v>21</v>
      </c>
      <c r="L163" s="3">
        <v>42</v>
      </c>
    </row>
    <row r="164" spans="1:12" ht="15" customHeight="1" x14ac:dyDescent="0.25">
      <c r="A164">
        <v>8163</v>
      </c>
      <c r="B164" t="s">
        <v>318</v>
      </c>
      <c r="C164" t="s">
        <v>96</v>
      </c>
      <c r="D164" t="s">
        <v>136</v>
      </c>
      <c r="E164" t="s">
        <v>160</v>
      </c>
      <c r="F164" t="s">
        <v>170</v>
      </c>
      <c r="G164" t="s">
        <v>142</v>
      </c>
      <c r="H164">
        <v>5</v>
      </c>
      <c r="I164">
        <v>15</v>
      </c>
      <c r="J164" s="3">
        <v>75</v>
      </c>
      <c r="K164" s="3">
        <v>25</v>
      </c>
      <c r="L164" s="3">
        <v>50</v>
      </c>
    </row>
    <row r="165" spans="1:12" ht="15" customHeight="1" x14ac:dyDescent="0.25">
      <c r="A165">
        <v>8164</v>
      </c>
      <c r="B165" t="s">
        <v>319</v>
      </c>
      <c r="C165" t="s">
        <v>119</v>
      </c>
      <c r="D165" t="s">
        <v>131</v>
      </c>
      <c r="E165" t="s">
        <v>148</v>
      </c>
      <c r="F165" t="s">
        <v>232</v>
      </c>
      <c r="G165" t="s">
        <v>172</v>
      </c>
      <c r="H165">
        <v>2</v>
      </c>
      <c r="I165">
        <v>160</v>
      </c>
      <c r="J165" s="3">
        <v>320</v>
      </c>
      <c r="K165" s="3">
        <v>140</v>
      </c>
      <c r="L165" s="3">
        <v>180</v>
      </c>
    </row>
    <row r="166" spans="1:12" ht="15" customHeight="1" x14ac:dyDescent="0.25">
      <c r="A166">
        <v>8165</v>
      </c>
      <c r="B166" t="s">
        <v>320</v>
      </c>
      <c r="C166" t="s">
        <v>120</v>
      </c>
      <c r="D166" t="s">
        <v>136</v>
      </c>
      <c r="E166" t="s">
        <v>160</v>
      </c>
      <c r="F166" t="s">
        <v>252</v>
      </c>
      <c r="G166" t="s">
        <v>139</v>
      </c>
      <c r="H166">
        <v>13</v>
      </c>
      <c r="I166">
        <v>15</v>
      </c>
      <c r="J166" s="3">
        <v>195</v>
      </c>
      <c r="K166" s="3">
        <v>65</v>
      </c>
      <c r="L166" s="3">
        <v>130</v>
      </c>
    </row>
    <row r="167" spans="1:12" ht="15" customHeight="1" x14ac:dyDescent="0.25">
      <c r="A167">
        <v>8166</v>
      </c>
      <c r="B167" t="s">
        <v>321</v>
      </c>
      <c r="C167" t="s">
        <v>121</v>
      </c>
      <c r="D167" t="s">
        <v>131</v>
      </c>
      <c r="E167" t="s">
        <v>132</v>
      </c>
      <c r="F167" t="s">
        <v>212</v>
      </c>
      <c r="G167" t="s">
        <v>164</v>
      </c>
      <c r="H167">
        <v>11</v>
      </c>
      <c r="I167">
        <v>190</v>
      </c>
      <c r="J167" s="3">
        <v>2090</v>
      </c>
      <c r="K167" s="3">
        <v>990</v>
      </c>
      <c r="L167" s="3">
        <v>1100</v>
      </c>
    </row>
    <row r="168" spans="1:12" ht="15" customHeight="1" x14ac:dyDescent="0.25">
      <c r="A168">
        <v>8167</v>
      </c>
      <c r="B168" t="s">
        <v>322</v>
      </c>
      <c r="C168" t="s">
        <v>96</v>
      </c>
      <c r="D168" t="s">
        <v>131</v>
      </c>
      <c r="E168" t="s">
        <v>132</v>
      </c>
      <c r="F168" t="s">
        <v>133</v>
      </c>
      <c r="G168" t="s">
        <v>146</v>
      </c>
      <c r="H168">
        <v>4</v>
      </c>
      <c r="I168">
        <v>190</v>
      </c>
      <c r="J168" s="3">
        <v>760</v>
      </c>
      <c r="K168" s="3">
        <v>360</v>
      </c>
      <c r="L168" s="3">
        <v>400</v>
      </c>
    </row>
    <row r="169" spans="1:12" ht="15" customHeight="1" x14ac:dyDescent="0.25">
      <c r="A169">
        <v>8168</v>
      </c>
      <c r="B169" t="s">
        <v>323</v>
      </c>
      <c r="C169" t="s">
        <v>121</v>
      </c>
      <c r="D169" t="s">
        <v>131</v>
      </c>
      <c r="E169" t="s">
        <v>144</v>
      </c>
      <c r="F169" t="s">
        <v>225</v>
      </c>
      <c r="G169" t="s">
        <v>146</v>
      </c>
      <c r="H169">
        <v>15</v>
      </c>
      <c r="I169">
        <v>380</v>
      </c>
      <c r="J169" s="3">
        <v>5700</v>
      </c>
      <c r="K169" s="3">
        <v>2700</v>
      </c>
      <c r="L169" s="3">
        <v>3000</v>
      </c>
    </row>
    <row r="170" spans="1:12" ht="15" customHeight="1" x14ac:dyDescent="0.25">
      <c r="A170">
        <v>8169</v>
      </c>
      <c r="B170" t="s">
        <v>324</v>
      </c>
      <c r="C170" t="s">
        <v>121</v>
      </c>
      <c r="D170" t="s">
        <v>97</v>
      </c>
      <c r="E170" t="s">
        <v>90</v>
      </c>
      <c r="F170" t="s">
        <v>184</v>
      </c>
      <c r="G170" t="s">
        <v>176</v>
      </c>
      <c r="H170">
        <v>10</v>
      </c>
      <c r="I170">
        <v>420</v>
      </c>
      <c r="J170" s="3">
        <v>4200</v>
      </c>
      <c r="K170" s="3">
        <v>2200</v>
      </c>
      <c r="L170" s="3">
        <v>2000</v>
      </c>
    </row>
    <row r="171" spans="1:12" ht="15" customHeight="1" x14ac:dyDescent="0.25">
      <c r="A171">
        <v>8170</v>
      </c>
      <c r="B171" t="s">
        <v>325</v>
      </c>
      <c r="C171" t="s">
        <v>119</v>
      </c>
      <c r="D171" t="s">
        <v>97</v>
      </c>
      <c r="E171" t="s">
        <v>151</v>
      </c>
      <c r="F171" t="s">
        <v>141</v>
      </c>
      <c r="G171" t="s">
        <v>202</v>
      </c>
      <c r="H171">
        <v>6</v>
      </c>
      <c r="I171">
        <v>75</v>
      </c>
      <c r="J171" s="3">
        <v>450</v>
      </c>
      <c r="K171" s="3">
        <v>180</v>
      </c>
      <c r="L171" s="3">
        <v>270</v>
      </c>
    </row>
    <row r="172" spans="1:12" ht="15" customHeight="1" x14ac:dyDescent="0.25">
      <c r="A172">
        <v>8171</v>
      </c>
      <c r="B172" t="s">
        <v>143</v>
      </c>
      <c r="C172" t="s">
        <v>119</v>
      </c>
      <c r="D172" t="s">
        <v>131</v>
      </c>
      <c r="E172" t="s">
        <v>155</v>
      </c>
      <c r="F172" t="s">
        <v>138</v>
      </c>
      <c r="G172" t="s">
        <v>142</v>
      </c>
      <c r="H172">
        <v>15</v>
      </c>
      <c r="I172">
        <v>140</v>
      </c>
      <c r="J172" s="3">
        <v>2100</v>
      </c>
      <c r="K172" s="3">
        <v>975</v>
      </c>
      <c r="L172" s="3">
        <v>1125</v>
      </c>
    </row>
    <row r="173" spans="1:12" ht="15" customHeight="1" x14ac:dyDescent="0.25">
      <c r="A173">
        <v>8172</v>
      </c>
      <c r="B173" t="s">
        <v>223</v>
      </c>
      <c r="C173" t="s">
        <v>119</v>
      </c>
      <c r="D173" t="s">
        <v>131</v>
      </c>
      <c r="E173" t="s">
        <v>144</v>
      </c>
      <c r="F173" t="s">
        <v>138</v>
      </c>
      <c r="G173" t="s">
        <v>176</v>
      </c>
      <c r="H173">
        <v>3</v>
      </c>
      <c r="I173">
        <v>380</v>
      </c>
      <c r="J173" s="3">
        <v>1140</v>
      </c>
      <c r="K173" s="3">
        <v>540</v>
      </c>
      <c r="L173" s="3">
        <v>600</v>
      </c>
    </row>
    <row r="174" spans="1:12" ht="15" customHeight="1" x14ac:dyDescent="0.25">
      <c r="A174">
        <v>8173</v>
      </c>
      <c r="B174" t="s">
        <v>326</v>
      </c>
      <c r="C174" t="s">
        <v>120</v>
      </c>
      <c r="D174" t="s">
        <v>97</v>
      </c>
      <c r="E174" t="s">
        <v>87</v>
      </c>
      <c r="F174" t="s">
        <v>262</v>
      </c>
      <c r="G174" t="s">
        <v>172</v>
      </c>
      <c r="H174">
        <v>1</v>
      </c>
      <c r="I174">
        <v>1200</v>
      </c>
      <c r="J174" s="3">
        <v>1200</v>
      </c>
      <c r="K174" s="3">
        <v>850</v>
      </c>
      <c r="L174" s="3">
        <v>350</v>
      </c>
    </row>
    <row r="175" spans="1:12" ht="15" customHeight="1" x14ac:dyDescent="0.25">
      <c r="A175">
        <v>8174</v>
      </c>
      <c r="B175" t="s">
        <v>221</v>
      </c>
      <c r="C175" t="s">
        <v>96</v>
      </c>
      <c r="D175" t="s">
        <v>131</v>
      </c>
      <c r="E175" t="s">
        <v>132</v>
      </c>
      <c r="F175" t="s">
        <v>238</v>
      </c>
      <c r="G175" t="s">
        <v>202</v>
      </c>
      <c r="H175">
        <v>7</v>
      </c>
      <c r="I175">
        <v>190</v>
      </c>
      <c r="J175" s="3">
        <v>1330</v>
      </c>
      <c r="K175" s="3">
        <v>630</v>
      </c>
      <c r="L175" s="3">
        <v>700</v>
      </c>
    </row>
    <row r="176" spans="1:12" ht="15" customHeight="1" x14ac:dyDescent="0.25">
      <c r="A176">
        <v>8175</v>
      </c>
      <c r="B176" t="s">
        <v>327</v>
      </c>
      <c r="C176" t="s">
        <v>96</v>
      </c>
      <c r="D176" t="s">
        <v>131</v>
      </c>
      <c r="E176" t="s">
        <v>155</v>
      </c>
      <c r="F176" t="s">
        <v>161</v>
      </c>
      <c r="G176" t="s">
        <v>134</v>
      </c>
      <c r="H176">
        <v>3</v>
      </c>
      <c r="I176">
        <v>140</v>
      </c>
      <c r="J176" s="3">
        <v>420</v>
      </c>
      <c r="K176" s="3">
        <v>195</v>
      </c>
      <c r="L176" s="3">
        <v>225</v>
      </c>
    </row>
    <row r="177" spans="1:12" ht="15" customHeight="1" x14ac:dyDescent="0.25">
      <c r="A177">
        <v>8176</v>
      </c>
      <c r="B177" t="s">
        <v>229</v>
      </c>
      <c r="C177" t="s">
        <v>96</v>
      </c>
      <c r="D177" t="s">
        <v>131</v>
      </c>
      <c r="E177" t="s">
        <v>132</v>
      </c>
      <c r="F177" t="s">
        <v>149</v>
      </c>
      <c r="G177" t="s">
        <v>142</v>
      </c>
      <c r="H177">
        <v>13</v>
      </c>
      <c r="I177">
        <v>190</v>
      </c>
      <c r="J177" s="3">
        <v>2470</v>
      </c>
      <c r="K177" s="3">
        <v>1170</v>
      </c>
      <c r="L177" s="3">
        <v>1300</v>
      </c>
    </row>
    <row r="178" spans="1:12" ht="15" customHeight="1" x14ac:dyDescent="0.25">
      <c r="A178">
        <v>8177</v>
      </c>
      <c r="B178" t="s">
        <v>328</v>
      </c>
      <c r="C178" t="s">
        <v>96</v>
      </c>
      <c r="D178" t="s">
        <v>136</v>
      </c>
      <c r="E178" t="s">
        <v>160</v>
      </c>
      <c r="F178" t="s">
        <v>209</v>
      </c>
      <c r="G178" t="s">
        <v>142</v>
      </c>
      <c r="H178">
        <v>14</v>
      </c>
      <c r="I178">
        <v>15</v>
      </c>
      <c r="J178" s="3">
        <v>210</v>
      </c>
      <c r="K178" s="3">
        <v>70</v>
      </c>
      <c r="L178" s="3">
        <v>140</v>
      </c>
    </row>
    <row r="179" spans="1:12" ht="15" customHeight="1" x14ac:dyDescent="0.25">
      <c r="A179">
        <v>8178</v>
      </c>
      <c r="B179" t="s">
        <v>329</v>
      </c>
      <c r="C179" t="s">
        <v>119</v>
      </c>
      <c r="D179" t="s">
        <v>97</v>
      </c>
      <c r="E179" t="s">
        <v>87</v>
      </c>
      <c r="F179" t="s">
        <v>149</v>
      </c>
      <c r="G179" t="s">
        <v>146</v>
      </c>
      <c r="H179">
        <v>2</v>
      </c>
      <c r="I179">
        <v>1200</v>
      </c>
      <c r="J179" s="3">
        <v>2400</v>
      </c>
      <c r="K179" s="3">
        <v>1700</v>
      </c>
      <c r="L179" s="3">
        <v>700</v>
      </c>
    </row>
    <row r="180" spans="1:12" ht="15" customHeight="1" x14ac:dyDescent="0.25">
      <c r="A180">
        <v>8179</v>
      </c>
      <c r="B180" t="s">
        <v>228</v>
      </c>
      <c r="C180" t="s">
        <v>121</v>
      </c>
      <c r="D180" t="s">
        <v>97</v>
      </c>
      <c r="E180" t="s">
        <v>90</v>
      </c>
      <c r="F180" t="s">
        <v>184</v>
      </c>
      <c r="G180" t="s">
        <v>164</v>
      </c>
      <c r="H180">
        <v>2</v>
      </c>
      <c r="I180">
        <v>420</v>
      </c>
      <c r="J180" s="3">
        <v>840</v>
      </c>
      <c r="K180" s="3">
        <v>440</v>
      </c>
      <c r="L180" s="3">
        <v>400</v>
      </c>
    </row>
    <row r="181" spans="1:12" ht="15" customHeight="1" x14ac:dyDescent="0.25">
      <c r="A181">
        <v>8180</v>
      </c>
      <c r="B181" t="s">
        <v>218</v>
      </c>
      <c r="C181" t="s">
        <v>96</v>
      </c>
      <c r="D181" t="s">
        <v>97</v>
      </c>
      <c r="E181" t="s">
        <v>151</v>
      </c>
      <c r="F181" t="s">
        <v>152</v>
      </c>
      <c r="G181" t="s">
        <v>176</v>
      </c>
      <c r="H181">
        <v>9</v>
      </c>
      <c r="I181">
        <v>75</v>
      </c>
      <c r="J181" s="3">
        <v>675</v>
      </c>
      <c r="K181" s="3">
        <v>270</v>
      </c>
      <c r="L181" s="3">
        <v>405</v>
      </c>
    </row>
    <row r="182" spans="1:12" ht="15" customHeight="1" x14ac:dyDescent="0.25">
      <c r="A182">
        <v>8181</v>
      </c>
      <c r="B182" t="s">
        <v>313</v>
      </c>
      <c r="C182" t="s">
        <v>120</v>
      </c>
      <c r="D182" t="s">
        <v>136</v>
      </c>
      <c r="E182" t="s">
        <v>137</v>
      </c>
      <c r="F182" t="s">
        <v>217</v>
      </c>
      <c r="G182" t="s">
        <v>134</v>
      </c>
      <c r="H182">
        <v>7</v>
      </c>
      <c r="I182">
        <v>9</v>
      </c>
      <c r="J182" s="3">
        <v>63</v>
      </c>
      <c r="K182" s="3">
        <v>21</v>
      </c>
      <c r="L182" s="3">
        <v>42</v>
      </c>
    </row>
    <row r="183" spans="1:12" ht="15" customHeight="1" x14ac:dyDescent="0.25">
      <c r="A183">
        <v>8182</v>
      </c>
      <c r="B183" t="s">
        <v>330</v>
      </c>
      <c r="C183" t="s">
        <v>119</v>
      </c>
      <c r="D183" t="s">
        <v>131</v>
      </c>
      <c r="E183" t="s">
        <v>148</v>
      </c>
      <c r="F183" t="s">
        <v>163</v>
      </c>
      <c r="G183" t="s">
        <v>139</v>
      </c>
      <c r="H183">
        <v>13</v>
      </c>
      <c r="I183">
        <v>160</v>
      </c>
      <c r="J183" s="3">
        <v>2080</v>
      </c>
      <c r="K183" s="3">
        <v>910</v>
      </c>
      <c r="L183" s="3">
        <v>1170</v>
      </c>
    </row>
    <row r="184" spans="1:12" ht="15" customHeight="1" x14ac:dyDescent="0.25">
      <c r="A184">
        <v>8183</v>
      </c>
      <c r="B184" t="s">
        <v>315</v>
      </c>
      <c r="C184" t="s">
        <v>120</v>
      </c>
      <c r="D184" t="s">
        <v>131</v>
      </c>
      <c r="E184" t="s">
        <v>148</v>
      </c>
      <c r="F184" t="s">
        <v>262</v>
      </c>
      <c r="G184" t="s">
        <v>164</v>
      </c>
      <c r="H184">
        <v>5</v>
      </c>
      <c r="I184">
        <v>160</v>
      </c>
      <c r="J184" s="3">
        <v>800</v>
      </c>
      <c r="K184" s="3">
        <v>350</v>
      </c>
      <c r="L184" s="3">
        <v>450</v>
      </c>
    </row>
    <row r="185" spans="1:12" ht="15" customHeight="1" x14ac:dyDescent="0.25">
      <c r="A185">
        <v>8184</v>
      </c>
      <c r="B185" t="s">
        <v>159</v>
      </c>
      <c r="C185" t="s">
        <v>119</v>
      </c>
      <c r="D185" t="s">
        <v>131</v>
      </c>
      <c r="E185" t="s">
        <v>148</v>
      </c>
      <c r="F185" t="s">
        <v>141</v>
      </c>
      <c r="G185" t="s">
        <v>139</v>
      </c>
      <c r="H185">
        <v>13</v>
      </c>
      <c r="I185">
        <v>160</v>
      </c>
      <c r="J185" s="3">
        <v>2080</v>
      </c>
      <c r="K185" s="3">
        <v>910</v>
      </c>
      <c r="L185" s="3">
        <v>1170</v>
      </c>
    </row>
    <row r="186" spans="1:12" ht="15" customHeight="1" x14ac:dyDescent="0.25">
      <c r="A186">
        <v>8185</v>
      </c>
      <c r="B186" t="s">
        <v>331</v>
      </c>
      <c r="C186" t="s">
        <v>121</v>
      </c>
      <c r="D186" t="s">
        <v>131</v>
      </c>
      <c r="E186" t="s">
        <v>132</v>
      </c>
      <c r="F186" t="s">
        <v>201</v>
      </c>
      <c r="G186" t="s">
        <v>176</v>
      </c>
      <c r="H186">
        <v>15</v>
      </c>
      <c r="I186">
        <v>190</v>
      </c>
      <c r="J186" s="3">
        <v>2850</v>
      </c>
      <c r="K186" s="3">
        <v>1350</v>
      </c>
      <c r="L186" s="3">
        <v>1500</v>
      </c>
    </row>
    <row r="187" spans="1:12" ht="15" customHeight="1" x14ac:dyDescent="0.25">
      <c r="A187">
        <v>8186</v>
      </c>
      <c r="B187" t="s">
        <v>332</v>
      </c>
      <c r="C187" t="s">
        <v>119</v>
      </c>
      <c r="D187" t="s">
        <v>97</v>
      </c>
      <c r="E187" t="s">
        <v>90</v>
      </c>
      <c r="F187" t="s">
        <v>217</v>
      </c>
      <c r="G187" t="s">
        <v>202</v>
      </c>
      <c r="H187">
        <v>13</v>
      </c>
      <c r="I187">
        <v>420</v>
      </c>
      <c r="J187" s="3">
        <v>5460</v>
      </c>
      <c r="K187" s="3">
        <v>2860</v>
      </c>
      <c r="L187" s="3">
        <v>2600</v>
      </c>
    </row>
    <row r="188" spans="1:12" ht="15" customHeight="1" x14ac:dyDescent="0.25">
      <c r="A188">
        <v>8187</v>
      </c>
      <c r="B188" t="s">
        <v>154</v>
      </c>
      <c r="C188" t="s">
        <v>120</v>
      </c>
      <c r="D188" t="s">
        <v>97</v>
      </c>
      <c r="E188" t="s">
        <v>90</v>
      </c>
      <c r="F188" t="s">
        <v>278</v>
      </c>
      <c r="G188" t="s">
        <v>134</v>
      </c>
      <c r="H188">
        <v>2</v>
      </c>
      <c r="I188">
        <v>420</v>
      </c>
      <c r="J188" s="3">
        <v>840</v>
      </c>
      <c r="K188" s="3">
        <v>440</v>
      </c>
      <c r="L188" s="3">
        <v>400</v>
      </c>
    </row>
    <row r="189" spans="1:12" ht="15" customHeight="1" x14ac:dyDescent="0.25">
      <c r="A189">
        <v>8188</v>
      </c>
      <c r="B189" t="s">
        <v>333</v>
      </c>
      <c r="C189" t="s">
        <v>121</v>
      </c>
      <c r="D189" t="s">
        <v>97</v>
      </c>
      <c r="E189" t="s">
        <v>151</v>
      </c>
      <c r="F189" t="s">
        <v>149</v>
      </c>
      <c r="G189" t="s">
        <v>146</v>
      </c>
      <c r="H189">
        <v>13</v>
      </c>
      <c r="I189">
        <v>75</v>
      </c>
      <c r="J189" s="3">
        <v>975</v>
      </c>
      <c r="K189" s="3">
        <v>390</v>
      </c>
      <c r="L189" s="3">
        <v>585</v>
      </c>
    </row>
    <row r="190" spans="1:12" ht="15" customHeight="1" x14ac:dyDescent="0.25">
      <c r="A190">
        <v>8189</v>
      </c>
      <c r="B190" t="s">
        <v>334</v>
      </c>
      <c r="C190" t="s">
        <v>96</v>
      </c>
      <c r="D190" t="s">
        <v>136</v>
      </c>
      <c r="E190" t="s">
        <v>160</v>
      </c>
      <c r="F190" t="s">
        <v>195</v>
      </c>
      <c r="G190" t="s">
        <v>172</v>
      </c>
      <c r="H190">
        <v>5</v>
      </c>
      <c r="I190">
        <v>15</v>
      </c>
      <c r="J190" s="3">
        <v>75</v>
      </c>
      <c r="K190" s="3">
        <v>25</v>
      </c>
      <c r="L190" s="3">
        <v>50</v>
      </c>
    </row>
    <row r="191" spans="1:12" ht="15" customHeight="1" x14ac:dyDescent="0.25">
      <c r="A191">
        <v>8190</v>
      </c>
      <c r="B191" t="s">
        <v>242</v>
      </c>
      <c r="C191" t="s">
        <v>120</v>
      </c>
      <c r="D191" t="s">
        <v>131</v>
      </c>
      <c r="E191" t="s">
        <v>144</v>
      </c>
      <c r="F191" t="s">
        <v>212</v>
      </c>
      <c r="G191" t="s">
        <v>146</v>
      </c>
      <c r="H191">
        <v>6</v>
      </c>
      <c r="I191">
        <v>380</v>
      </c>
      <c r="J191" s="3">
        <v>2280</v>
      </c>
      <c r="K191" s="3">
        <v>1080</v>
      </c>
      <c r="L191" s="3">
        <v>1200</v>
      </c>
    </row>
    <row r="192" spans="1:12" ht="15" customHeight="1" x14ac:dyDescent="0.25">
      <c r="A192">
        <v>8191</v>
      </c>
      <c r="B192" t="s">
        <v>335</v>
      </c>
      <c r="C192" t="s">
        <v>121</v>
      </c>
      <c r="D192" t="s">
        <v>97</v>
      </c>
      <c r="E192" t="s">
        <v>157</v>
      </c>
      <c r="F192" t="s">
        <v>187</v>
      </c>
      <c r="G192" t="s">
        <v>142</v>
      </c>
      <c r="H192">
        <v>15</v>
      </c>
      <c r="I192">
        <v>25</v>
      </c>
      <c r="J192" s="3">
        <v>375</v>
      </c>
      <c r="K192" s="3">
        <v>120</v>
      </c>
      <c r="L192" s="3">
        <v>255</v>
      </c>
    </row>
    <row r="193" spans="1:12" ht="15" customHeight="1" x14ac:dyDescent="0.25">
      <c r="A193">
        <v>8192</v>
      </c>
      <c r="B193" t="s">
        <v>336</v>
      </c>
      <c r="C193" t="s">
        <v>121</v>
      </c>
      <c r="D193" t="s">
        <v>136</v>
      </c>
      <c r="E193" t="s">
        <v>137</v>
      </c>
      <c r="F193" t="s">
        <v>280</v>
      </c>
      <c r="G193" t="s">
        <v>139</v>
      </c>
      <c r="H193">
        <v>4</v>
      </c>
      <c r="I193">
        <v>9</v>
      </c>
      <c r="J193" s="3">
        <v>36</v>
      </c>
      <c r="K193" s="3">
        <v>12</v>
      </c>
      <c r="L193" s="3">
        <v>24</v>
      </c>
    </row>
    <row r="194" spans="1:12" ht="15" customHeight="1" x14ac:dyDescent="0.25">
      <c r="A194">
        <v>8193</v>
      </c>
      <c r="B194" t="s">
        <v>304</v>
      </c>
      <c r="C194" t="s">
        <v>119</v>
      </c>
      <c r="D194" t="s">
        <v>131</v>
      </c>
      <c r="E194" t="s">
        <v>144</v>
      </c>
      <c r="F194" t="s">
        <v>201</v>
      </c>
      <c r="G194" t="s">
        <v>202</v>
      </c>
      <c r="H194">
        <v>1</v>
      </c>
      <c r="I194">
        <v>380</v>
      </c>
      <c r="J194" s="3">
        <v>380</v>
      </c>
      <c r="K194" s="3">
        <v>180</v>
      </c>
      <c r="L194" s="3">
        <v>200</v>
      </c>
    </row>
    <row r="195" spans="1:12" ht="15" customHeight="1" x14ac:dyDescent="0.25">
      <c r="A195">
        <v>8194</v>
      </c>
      <c r="B195" t="s">
        <v>337</v>
      </c>
      <c r="C195" t="s">
        <v>119</v>
      </c>
      <c r="D195" t="s">
        <v>131</v>
      </c>
      <c r="E195" t="s">
        <v>148</v>
      </c>
      <c r="F195" t="s">
        <v>201</v>
      </c>
      <c r="G195" t="s">
        <v>142</v>
      </c>
      <c r="H195">
        <v>7</v>
      </c>
      <c r="I195">
        <v>160</v>
      </c>
      <c r="J195" s="3">
        <v>1120</v>
      </c>
      <c r="K195" s="3">
        <v>490</v>
      </c>
      <c r="L195" s="3">
        <v>630</v>
      </c>
    </row>
    <row r="196" spans="1:12" ht="15" customHeight="1" x14ac:dyDescent="0.25">
      <c r="A196">
        <v>8195</v>
      </c>
      <c r="B196" t="s">
        <v>167</v>
      </c>
      <c r="C196" t="s">
        <v>121</v>
      </c>
      <c r="D196" t="s">
        <v>97</v>
      </c>
      <c r="E196" t="s">
        <v>90</v>
      </c>
      <c r="F196" t="s">
        <v>338</v>
      </c>
      <c r="G196" t="s">
        <v>164</v>
      </c>
      <c r="H196">
        <v>14</v>
      </c>
      <c r="I196">
        <v>420</v>
      </c>
      <c r="J196" s="3">
        <v>5880</v>
      </c>
      <c r="K196" s="3">
        <v>3080</v>
      </c>
      <c r="L196" s="3">
        <v>2800</v>
      </c>
    </row>
    <row r="197" spans="1:12" ht="15" customHeight="1" x14ac:dyDescent="0.25">
      <c r="A197">
        <v>8196</v>
      </c>
      <c r="B197" t="s">
        <v>339</v>
      </c>
      <c r="C197" t="s">
        <v>120</v>
      </c>
      <c r="D197" t="s">
        <v>131</v>
      </c>
      <c r="E197" t="s">
        <v>144</v>
      </c>
      <c r="F197" t="s">
        <v>161</v>
      </c>
      <c r="G197" t="s">
        <v>146</v>
      </c>
      <c r="H197">
        <v>15</v>
      </c>
      <c r="I197">
        <v>380</v>
      </c>
      <c r="J197" s="3">
        <v>5700</v>
      </c>
      <c r="K197" s="3">
        <v>2700</v>
      </c>
      <c r="L197" s="3">
        <v>3000</v>
      </c>
    </row>
    <row r="198" spans="1:12" ht="15" customHeight="1" x14ac:dyDescent="0.25">
      <c r="A198">
        <v>8197</v>
      </c>
      <c r="B198" t="s">
        <v>191</v>
      </c>
      <c r="C198" t="s">
        <v>119</v>
      </c>
      <c r="D198" t="s">
        <v>97</v>
      </c>
      <c r="E198" t="s">
        <v>87</v>
      </c>
      <c r="F198" t="s">
        <v>227</v>
      </c>
      <c r="G198" t="s">
        <v>202</v>
      </c>
      <c r="H198">
        <v>6</v>
      </c>
      <c r="I198">
        <v>1200</v>
      </c>
      <c r="J198" s="3">
        <v>7200</v>
      </c>
      <c r="K198" s="3">
        <v>5100</v>
      </c>
      <c r="L198" s="3">
        <v>2100</v>
      </c>
    </row>
    <row r="199" spans="1:12" ht="15" customHeight="1" x14ac:dyDescent="0.25">
      <c r="A199">
        <v>8198</v>
      </c>
      <c r="B199" t="s">
        <v>340</v>
      </c>
      <c r="C199" t="s">
        <v>120</v>
      </c>
      <c r="D199" t="s">
        <v>136</v>
      </c>
      <c r="E199" t="s">
        <v>160</v>
      </c>
      <c r="F199" t="s">
        <v>145</v>
      </c>
      <c r="G199" t="s">
        <v>134</v>
      </c>
      <c r="H199">
        <v>15</v>
      </c>
      <c r="I199">
        <v>15</v>
      </c>
      <c r="J199" s="3">
        <v>225</v>
      </c>
      <c r="K199" s="3">
        <v>75</v>
      </c>
      <c r="L199" s="3">
        <v>150</v>
      </c>
    </row>
    <row r="200" spans="1:12" ht="15" customHeight="1" x14ac:dyDescent="0.25">
      <c r="A200">
        <v>8199</v>
      </c>
      <c r="B200" t="s">
        <v>203</v>
      </c>
      <c r="C200" t="s">
        <v>121</v>
      </c>
      <c r="D200" t="s">
        <v>97</v>
      </c>
      <c r="E200" t="s">
        <v>151</v>
      </c>
      <c r="F200" t="s">
        <v>152</v>
      </c>
      <c r="G200" t="s">
        <v>164</v>
      </c>
      <c r="H200">
        <v>12</v>
      </c>
      <c r="I200">
        <v>75</v>
      </c>
      <c r="J200" s="3">
        <v>900</v>
      </c>
      <c r="K200" s="3">
        <v>360</v>
      </c>
      <c r="L200" s="3">
        <v>540</v>
      </c>
    </row>
    <row r="201" spans="1:12" ht="15" customHeight="1" x14ac:dyDescent="0.25">
      <c r="A201">
        <v>8200</v>
      </c>
      <c r="B201" t="s">
        <v>341</v>
      </c>
      <c r="C201" t="s">
        <v>120</v>
      </c>
      <c r="D201" t="s">
        <v>97</v>
      </c>
      <c r="E201" t="s">
        <v>90</v>
      </c>
      <c r="F201" t="s">
        <v>174</v>
      </c>
      <c r="G201" t="s">
        <v>172</v>
      </c>
      <c r="H201">
        <v>12</v>
      </c>
      <c r="I201">
        <v>420</v>
      </c>
      <c r="J201" s="3">
        <v>5040</v>
      </c>
      <c r="K201" s="3">
        <v>2640</v>
      </c>
      <c r="L201" s="3">
        <v>2400</v>
      </c>
    </row>
    <row r="202" spans="1:12" ht="15" customHeight="1" x14ac:dyDescent="0.25">
      <c r="A202">
        <v>8201</v>
      </c>
      <c r="B202" t="s">
        <v>304</v>
      </c>
      <c r="C202" t="s">
        <v>120</v>
      </c>
      <c r="D202" t="s">
        <v>131</v>
      </c>
      <c r="E202" t="s">
        <v>155</v>
      </c>
      <c r="F202" t="s">
        <v>256</v>
      </c>
      <c r="G202" t="s">
        <v>202</v>
      </c>
      <c r="H202">
        <v>10</v>
      </c>
      <c r="I202">
        <v>140</v>
      </c>
      <c r="J202" s="3">
        <v>1400</v>
      </c>
      <c r="K202" s="3">
        <v>650</v>
      </c>
      <c r="L202" s="3">
        <v>750</v>
      </c>
    </row>
    <row r="203" spans="1:12" ht="15" customHeight="1" x14ac:dyDescent="0.25">
      <c r="A203">
        <v>8202</v>
      </c>
      <c r="B203" t="s">
        <v>245</v>
      </c>
      <c r="C203" t="s">
        <v>119</v>
      </c>
      <c r="D203" t="s">
        <v>136</v>
      </c>
      <c r="E203" t="s">
        <v>160</v>
      </c>
      <c r="F203" t="s">
        <v>161</v>
      </c>
      <c r="G203" t="s">
        <v>139</v>
      </c>
      <c r="H203">
        <v>14</v>
      </c>
      <c r="I203">
        <v>15</v>
      </c>
      <c r="J203" s="3">
        <v>210</v>
      </c>
      <c r="K203" s="3">
        <v>70</v>
      </c>
      <c r="L203" s="3">
        <v>140</v>
      </c>
    </row>
    <row r="204" spans="1:12" ht="15" customHeight="1" x14ac:dyDescent="0.25">
      <c r="A204">
        <v>8203</v>
      </c>
      <c r="B204" t="s">
        <v>342</v>
      </c>
      <c r="C204" t="s">
        <v>120</v>
      </c>
      <c r="D204" t="s">
        <v>97</v>
      </c>
      <c r="E204" t="s">
        <v>157</v>
      </c>
      <c r="F204" t="s">
        <v>152</v>
      </c>
      <c r="G204" t="s">
        <v>176</v>
      </c>
      <c r="H204">
        <v>5</v>
      </c>
      <c r="I204">
        <v>25</v>
      </c>
      <c r="J204" s="3">
        <v>125</v>
      </c>
      <c r="K204" s="3">
        <v>40</v>
      </c>
      <c r="L204" s="3">
        <v>85</v>
      </c>
    </row>
    <row r="205" spans="1:12" ht="15" customHeight="1" x14ac:dyDescent="0.25">
      <c r="A205">
        <v>8204</v>
      </c>
      <c r="B205" t="s">
        <v>343</v>
      </c>
      <c r="C205" t="s">
        <v>121</v>
      </c>
      <c r="D205" t="s">
        <v>136</v>
      </c>
      <c r="E205" t="s">
        <v>137</v>
      </c>
      <c r="F205" t="s">
        <v>182</v>
      </c>
      <c r="G205" t="s">
        <v>134</v>
      </c>
      <c r="H205">
        <v>8</v>
      </c>
      <c r="I205">
        <v>9</v>
      </c>
      <c r="J205" s="3">
        <v>72</v>
      </c>
      <c r="K205" s="3">
        <v>24</v>
      </c>
      <c r="L205" s="3">
        <v>48</v>
      </c>
    </row>
    <row r="206" spans="1:12" ht="15" customHeight="1" x14ac:dyDescent="0.25">
      <c r="A206">
        <v>8205</v>
      </c>
      <c r="B206" t="s">
        <v>154</v>
      </c>
      <c r="C206" t="s">
        <v>119</v>
      </c>
      <c r="D206" t="s">
        <v>131</v>
      </c>
      <c r="E206" t="s">
        <v>144</v>
      </c>
      <c r="F206" t="s">
        <v>149</v>
      </c>
      <c r="G206" t="s">
        <v>139</v>
      </c>
      <c r="H206">
        <v>9</v>
      </c>
      <c r="I206">
        <v>380</v>
      </c>
      <c r="J206" s="3">
        <v>3420</v>
      </c>
      <c r="K206" s="3">
        <v>1620</v>
      </c>
      <c r="L206" s="3">
        <v>1800</v>
      </c>
    </row>
    <row r="207" spans="1:12" ht="15" customHeight="1" x14ac:dyDescent="0.25">
      <c r="A207">
        <v>8206</v>
      </c>
      <c r="B207" t="s">
        <v>191</v>
      </c>
      <c r="C207" t="s">
        <v>120</v>
      </c>
      <c r="D207" t="s">
        <v>131</v>
      </c>
      <c r="E207" t="s">
        <v>155</v>
      </c>
      <c r="F207" t="s">
        <v>212</v>
      </c>
      <c r="G207" t="s">
        <v>172</v>
      </c>
      <c r="H207">
        <v>13</v>
      </c>
      <c r="I207">
        <v>140</v>
      </c>
      <c r="J207" s="3">
        <v>1820</v>
      </c>
      <c r="K207" s="3">
        <v>845</v>
      </c>
      <c r="L207" s="3">
        <v>975</v>
      </c>
    </row>
    <row r="208" spans="1:12" ht="15" customHeight="1" x14ac:dyDescent="0.25">
      <c r="A208">
        <v>8207</v>
      </c>
      <c r="B208" t="s">
        <v>215</v>
      </c>
      <c r="C208" t="s">
        <v>120</v>
      </c>
      <c r="D208" t="s">
        <v>136</v>
      </c>
      <c r="E208" t="s">
        <v>160</v>
      </c>
      <c r="F208" t="s">
        <v>225</v>
      </c>
      <c r="G208" t="s">
        <v>142</v>
      </c>
      <c r="H208">
        <v>1</v>
      </c>
      <c r="I208">
        <v>15</v>
      </c>
      <c r="J208" s="3">
        <v>15</v>
      </c>
      <c r="K208" s="3">
        <v>5</v>
      </c>
      <c r="L208" s="3">
        <v>10</v>
      </c>
    </row>
    <row r="209" spans="1:12" ht="15" customHeight="1" x14ac:dyDescent="0.25">
      <c r="A209">
        <v>8208</v>
      </c>
      <c r="B209" t="s">
        <v>344</v>
      </c>
      <c r="C209" t="s">
        <v>96</v>
      </c>
      <c r="D209" t="s">
        <v>131</v>
      </c>
      <c r="E209" t="s">
        <v>155</v>
      </c>
      <c r="F209" t="s">
        <v>195</v>
      </c>
      <c r="G209" t="s">
        <v>139</v>
      </c>
      <c r="H209">
        <v>5</v>
      </c>
      <c r="I209">
        <v>140</v>
      </c>
      <c r="J209" s="3">
        <v>700</v>
      </c>
      <c r="K209" s="3">
        <v>325</v>
      </c>
      <c r="L209" s="3">
        <v>375</v>
      </c>
    </row>
    <row r="210" spans="1:12" ht="15" customHeight="1" x14ac:dyDescent="0.25">
      <c r="A210">
        <v>8209</v>
      </c>
      <c r="B210" t="s">
        <v>190</v>
      </c>
      <c r="C210" t="s">
        <v>121</v>
      </c>
      <c r="D210" t="s">
        <v>131</v>
      </c>
      <c r="E210" t="s">
        <v>144</v>
      </c>
      <c r="F210" t="s">
        <v>262</v>
      </c>
      <c r="G210" t="s">
        <v>176</v>
      </c>
      <c r="H210">
        <v>4</v>
      </c>
      <c r="I210">
        <v>380</v>
      </c>
      <c r="J210" s="3">
        <v>1520</v>
      </c>
      <c r="K210" s="3">
        <v>720</v>
      </c>
      <c r="L210" s="3">
        <v>800</v>
      </c>
    </row>
    <row r="211" spans="1:12" ht="15" customHeight="1" x14ac:dyDescent="0.25">
      <c r="A211">
        <v>8210</v>
      </c>
      <c r="B211" t="s">
        <v>274</v>
      </c>
      <c r="C211" t="s">
        <v>120</v>
      </c>
      <c r="D211" t="s">
        <v>131</v>
      </c>
      <c r="E211" t="s">
        <v>155</v>
      </c>
      <c r="F211" t="s">
        <v>230</v>
      </c>
      <c r="G211" t="s">
        <v>164</v>
      </c>
      <c r="H211">
        <v>3</v>
      </c>
      <c r="I211">
        <v>140</v>
      </c>
      <c r="J211" s="3">
        <v>420</v>
      </c>
      <c r="K211" s="3">
        <v>195</v>
      </c>
      <c r="L211" s="3">
        <v>225</v>
      </c>
    </row>
    <row r="212" spans="1:12" ht="15" customHeight="1" x14ac:dyDescent="0.25">
      <c r="A212">
        <v>8211</v>
      </c>
      <c r="B212" t="s">
        <v>345</v>
      </c>
      <c r="C212" t="s">
        <v>121</v>
      </c>
      <c r="D212" t="s">
        <v>97</v>
      </c>
      <c r="E212" t="s">
        <v>90</v>
      </c>
      <c r="F212" t="s">
        <v>161</v>
      </c>
      <c r="G212" t="s">
        <v>176</v>
      </c>
      <c r="H212">
        <v>5</v>
      </c>
      <c r="I212">
        <v>420</v>
      </c>
      <c r="J212" s="3">
        <v>2100</v>
      </c>
      <c r="K212" s="3">
        <v>1100</v>
      </c>
      <c r="L212" s="3">
        <v>1000</v>
      </c>
    </row>
    <row r="213" spans="1:12" ht="15" customHeight="1" x14ac:dyDescent="0.25">
      <c r="A213">
        <v>8212</v>
      </c>
      <c r="B213" t="s">
        <v>346</v>
      </c>
      <c r="C213" t="s">
        <v>96</v>
      </c>
      <c r="D213" t="s">
        <v>131</v>
      </c>
      <c r="E213" t="s">
        <v>148</v>
      </c>
      <c r="F213" t="s">
        <v>237</v>
      </c>
      <c r="G213" t="s">
        <v>202</v>
      </c>
      <c r="H213">
        <v>3</v>
      </c>
      <c r="I213">
        <v>160</v>
      </c>
      <c r="J213" s="3">
        <v>480</v>
      </c>
      <c r="K213" s="3">
        <v>210</v>
      </c>
      <c r="L213" s="3">
        <v>270</v>
      </c>
    </row>
    <row r="214" spans="1:12" ht="15" customHeight="1" x14ac:dyDescent="0.25">
      <c r="A214">
        <v>8213</v>
      </c>
      <c r="B214" t="s">
        <v>347</v>
      </c>
      <c r="C214" t="s">
        <v>119</v>
      </c>
      <c r="D214" t="s">
        <v>131</v>
      </c>
      <c r="E214" t="s">
        <v>144</v>
      </c>
      <c r="F214" t="s">
        <v>232</v>
      </c>
      <c r="G214" t="s">
        <v>146</v>
      </c>
      <c r="H214">
        <v>9</v>
      </c>
      <c r="I214">
        <v>380</v>
      </c>
      <c r="J214" s="3">
        <v>3420</v>
      </c>
      <c r="K214" s="3">
        <v>1620</v>
      </c>
      <c r="L214" s="3">
        <v>1800</v>
      </c>
    </row>
    <row r="215" spans="1:12" ht="15" customHeight="1" x14ac:dyDescent="0.25">
      <c r="A215">
        <v>8214</v>
      </c>
      <c r="B215" t="s">
        <v>348</v>
      </c>
      <c r="C215" t="s">
        <v>96</v>
      </c>
      <c r="D215" t="s">
        <v>131</v>
      </c>
      <c r="E215" t="s">
        <v>148</v>
      </c>
      <c r="F215" t="s">
        <v>187</v>
      </c>
      <c r="G215" t="s">
        <v>202</v>
      </c>
      <c r="H215">
        <v>6</v>
      </c>
      <c r="I215">
        <v>160</v>
      </c>
      <c r="J215" s="3">
        <v>960</v>
      </c>
      <c r="K215" s="3">
        <v>420</v>
      </c>
      <c r="L215" s="3">
        <v>540</v>
      </c>
    </row>
    <row r="216" spans="1:12" ht="15" customHeight="1" x14ac:dyDescent="0.25">
      <c r="A216">
        <v>8215</v>
      </c>
      <c r="B216" t="s">
        <v>349</v>
      </c>
      <c r="C216" t="s">
        <v>120</v>
      </c>
      <c r="D216" t="s">
        <v>131</v>
      </c>
      <c r="E216" t="s">
        <v>148</v>
      </c>
      <c r="F216" t="s">
        <v>168</v>
      </c>
      <c r="G216" t="s">
        <v>134</v>
      </c>
      <c r="H216">
        <v>1</v>
      </c>
      <c r="I216">
        <v>160</v>
      </c>
      <c r="J216" s="3">
        <v>160</v>
      </c>
      <c r="K216" s="3">
        <v>70</v>
      </c>
      <c r="L216" s="3">
        <v>90</v>
      </c>
    </row>
    <row r="217" spans="1:12" ht="15" customHeight="1" x14ac:dyDescent="0.25">
      <c r="A217">
        <v>8216</v>
      </c>
      <c r="B217" t="s">
        <v>350</v>
      </c>
      <c r="C217" t="s">
        <v>121</v>
      </c>
      <c r="D217" t="s">
        <v>136</v>
      </c>
      <c r="E217" t="s">
        <v>137</v>
      </c>
      <c r="F217" t="s">
        <v>187</v>
      </c>
      <c r="G217" t="s">
        <v>146</v>
      </c>
      <c r="H217">
        <v>14</v>
      </c>
      <c r="I217">
        <v>9</v>
      </c>
      <c r="J217" s="3">
        <v>126</v>
      </c>
      <c r="K217" s="3">
        <v>42</v>
      </c>
      <c r="L217" s="3">
        <v>84</v>
      </c>
    </row>
    <row r="218" spans="1:12" ht="15" customHeight="1" x14ac:dyDescent="0.25">
      <c r="A218">
        <v>8217</v>
      </c>
      <c r="B218" t="s">
        <v>325</v>
      </c>
      <c r="C218" t="s">
        <v>121</v>
      </c>
      <c r="D218" t="s">
        <v>131</v>
      </c>
      <c r="E218" t="s">
        <v>144</v>
      </c>
      <c r="F218" t="s">
        <v>189</v>
      </c>
      <c r="G218" t="s">
        <v>202</v>
      </c>
      <c r="H218">
        <v>3</v>
      </c>
      <c r="I218">
        <v>380</v>
      </c>
      <c r="J218" s="3">
        <v>1140</v>
      </c>
      <c r="K218" s="3">
        <v>540</v>
      </c>
      <c r="L218" s="3">
        <v>600</v>
      </c>
    </row>
    <row r="219" spans="1:12" ht="15" customHeight="1" x14ac:dyDescent="0.25">
      <c r="A219">
        <v>8218</v>
      </c>
      <c r="B219" t="s">
        <v>351</v>
      </c>
      <c r="C219" t="s">
        <v>119</v>
      </c>
      <c r="D219" t="s">
        <v>136</v>
      </c>
      <c r="E219" t="s">
        <v>137</v>
      </c>
      <c r="F219" t="s">
        <v>252</v>
      </c>
      <c r="G219" t="s">
        <v>146</v>
      </c>
      <c r="H219">
        <v>2</v>
      </c>
      <c r="I219">
        <v>9</v>
      </c>
      <c r="J219" s="3">
        <v>18</v>
      </c>
      <c r="K219" s="3">
        <v>6</v>
      </c>
      <c r="L219" s="3">
        <v>12</v>
      </c>
    </row>
    <row r="220" spans="1:12" ht="15" customHeight="1" x14ac:dyDescent="0.25">
      <c r="A220">
        <v>8219</v>
      </c>
      <c r="B220" t="s">
        <v>272</v>
      </c>
      <c r="C220" t="s">
        <v>119</v>
      </c>
      <c r="D220" t="s">
        <v>97</v>
      </c>
      <c r="E220" t="s">
        <v>90</v>
      </c>
      <c r="F220" t="s">
        <v>133</v>
      </c>
      <c r="G220" t="s">
        <v>202</v>
      </c>
      <c r="H220">
        <v>7</v>
      </c>
      <c r="I220">
        <v>420</v>
      </c>
      <c r="J220" s="3">
        <v>2940</v>
      </c>
      <c r="K220" s="3">
        <v>1540</v>
      </c>
      <c r="L220" s="3">
        <v>1400</v>
      </c>
    </row>
    <row r="221" spans="1:12" ht="15" customHeight="1" x14ac:dyDescent="0.25">
      <c r="A221">
        <v>8220</v>
      </c>
      <c r="B221" t="s">
        <v>352</v>
      </c>
      <c r="C221" t="s">
        <v>119</v>
      </c>
      <c r="D221" t="s">
        <v>131</v>
      </c>
      <c r="E221" t="s">
        <v>144</v>
      </c>
      <c r="F221" t="s">
        <v>138</v>
      </c>
      <c r="G221" t="s">
        <v>142</v>
      </c>
      <c r="H221">
        <v>5</v>
      </c>
      <c r="I221">
        <v>380</v>
      </c>
      <c r="J221" s="3">
        <v>1900</v>
      </c>
      <c r="K221" s="3">
        <v>900</v>
      </c>
      <c r="L221" s="3">
        <v>1000</v>
      </c>
    </row>
    <row r="222" spans="1:12" ht="15" customHeight="1" x14ac:dyDescent="0.25">
      <c r="A222">
        <v>8221</v>
      </c>
      <c r="B222" t="s">
        <v>249</v>
      </c>
      <c r="C222" t="s">
        <v>119</v>
      </c>
      <c r="D222" t="s">
        <v>97</v>
      </c>
      <c r="E222" t="s">
        <v>151</v>
      </c>
      <c r="F222" t="s">
        <v>230</v>
      </c>
      <c r="G222" t="s">
        <v>134</v>
      </c>
      <c r="H222">
        <v>8</v>
      </c>
      <c r="I222">
        <v>75</v>
      </c>
      <c r="J222" s="3">
        <v>600</v>
      </c>
      <c r="K222" s="3">
        <v>240</v>
      </c>
      <c r="L222" s="3">
        <v>360</v>
      </c>
    </row>
    <row r="223" spans="1:12" ht="15" customHeight="1" x14ac:dyDescent="0.25">
      <c r="A223">
        <v>8222</v>
      </c>
      <c r="B223" t="s">
        <v>353</v>
      </c>
      <c r="C223" t="s">
        <v>96</v>
      </c>
      <c r="D223" t="s">
        <v>131</v>
      </c>
      <c r="E223" t="s">
        <v>132</v>
      </c>
      <c r="F223" t="s">
        <v>262</v>
      </c>
      <c r="G223" t="s">
        <v>139</v>
      </c>
      <c r="H223">
        <v>6</v>
      </c>
      <c r="I223">
        <v>190</v>
      </c>
      <c r="J223" s="3">
        <v>1140</v>
      </c>
      <c r="K223" s="3">
        <v>540</v>
      </c>
      <c r="L223" s="3">
        <v>600</v>
      </c>
    </row>
    <row r="224" spans="1:12" ht="15" customHeight="1" x14ac:dyDescent="0.25">
      <c r="A224">
        <v>8223</v>
      </c>
      <c r="B224" t="s">
        <v>279</v>
      </c>
      <c r="C224" t="s">
        <v>96</v>
      </c>
      <c r="D224" t="s">
        <v>131</v>
      </c>
      <c r="E224" t="s">
        <v>148</v>
      </c>
      <c r="F224" t="s">
        <v>207</v>
      </c>
      <c r="G224" t="s">
        <v>134</v>
      </c>
      <c r="H224">
        <v>14</v>
      </c>
      <c r="I224">
        <v>160</v>
      </c>
      <c r="J224" s="3">
        <v>2240</v>
      </c>
      <c r="K224" s="3">
        <v>980</v>
      </c>
      <c r="L224" s="3">
        <v>1260</v>
      </c>
    </row>
    <row r="225" spans="1:12" ht="15" customHeight="1" x14ac:dyDescent="0.25">
      <c r="A225">
        <v>8224</v>
      </c>
      <c r="B225" t="s">
        <v>354</v>
      </c>
      <c r="C225" t="s">
        <v>120</v>
      </c>
      <c r="D225" t="s">
        <v>131</v>
      </c>
      <c r="E225" t="s">
        <v>132</v>
      </c>
      <c r="F225" t="s">
        <v>230</v>
      </c>
      <c r="G225" t="s">
        <v>172</v>
      </c>
      <c r="H225">
        <v>3</v>
      </c>
      <c r="I225">
        <v>190</v>
      </c>
      <c r="J225" s="3">
        <v>570</v>
      </c>
      <c r="K225" s="3">
        <v>270</v>
      </c>
      <c r="L225" s="3">
        <v>300</v>
      </c>
    </row>
    <row r="226" spans="1:12" ht="15" customHeight="1" x14ac:dyDescent="0.25">
      <c r="A226">
        <v>8225</v>
      </c>
      <c r="B226" t="s">
        <v>206</v>
      </c>
      <c r="C226" t="s">
        <v>121</v>
      </c>
      <c r="D226" t="s">
        <v>131</v>
      </c>
      <c r="E226" t="s">
        <v>148</v>
      </c>
      <c r="F226" t="s">
        <v>237</v>
      </c>
      <c r="G226" t="s">
        <v>134</v>
      </c>
      <c r="H226">
        <v>14</v>
      </c>
      <c r="I226">
        <v>160</v>
      </c>
      <c r="J226" s="3">
        <v>2240</v>
      </c>
      <c r="K226" s="3">
        <v>980</v>
      </c>
      <c r="L226" s="3">
        <v>1260</v>
      </c>
    </row>
    <row r="227" spans="1:12" ht="15" customHeight="1" x14ac:dyDescent="0.25">
      <c r="A227">
        <v>8226</v>
      </c>
      <c r="B227" t="s">
        <v>156</v>
      </c>
      <c r="C227" t="s">
        <v>121</v>
      </c>
      <c r="D227" t="s">
        <v>97</v>
      </c>
      <c r="E227" t="s">
        <v>151</v>
      </c>
      <c r="F227" t="s">
        <v>161</v>
      </c>
      <c r="G227" t="s">
        <v>164</v>
      </c>
      <c r="H227">
        <v>2</v>
      </c>
      <c r="I227">
        <v>75</v>
      </c>
      <c r="J227" s="3">
        <v>150</v>
      </c>
      <c r="K227" s="3">
        <v>60</v>
      </c>
      <c r="L227" s="3">
        <v>90</v>
      </c>
    </row>
    <row r="228" spans="1:12" ht="15" customHeight="1" x14ac:dyDescent="0.25">
      <c r="A228">
        <v>8227</v>
      </c>
      <c r="B228" t="s">
        <v>355</v>
      </c>
      <c r="C228" t="s">
        <v>96</v>
      </c>
      <c r="D228" t="s">
        <v>136</v>
      </c>
      <c r="E228" t="s">
        <v>160</v>
      </c>
      <c r="F228" t="s">
        <v>234</v>
      </c>
      <c r="G228" t="s">
        <v>164</v>
      </c>
      <c r="H228">
        <v>1</v>
      </c>
      <c r="I228">
        <v>15</v>
      </c>
      <c r="J228" s="3">
        <v>15</v>
      </c>
      <c r="K228" s="3">
        <v>5</v>
      </c>
      <c r="L228" s="3">
        <v>10</v>
      </c>
    </row>
    <row r="229" spans="1:12" ht="15" customHeight="1" x14ac:dyDescent="0.25">
      <c r="A229">
        <v>8228</v>
      </c>
      <c r="B229" t="s">
        <v>356</v>
      </c>
      <c r="C229" t="s">
        <v>119</v>
      </c>
      <c r="D229" t="s">
        <v>131</v>
      </c>
      <c r="E229" t="s">
        <v>148</v>
      </c>
      <c r="F229" t="s">
        <v>138</v>
      </c>
      <c r="G229" t="s">
        <v>202</v>
      </c>
      <c r="H229">
        <v>11</v>
      </c>
      <c r="I229">
        <v>160</v>
      </c>
      <c r="J229" s="3">
        <v>1760</v>
      </c>
      <c r="K229" s="3">
        <v>770</v>
      </c>
      <c r="L229" s="3">
        <v>990</v>
      </c>
    </row>
    <row r="230" spans="1:12" ht="15" customHeight="1" x14ac:dyDescent="0.25">
      <c r="A230">
        <v>8229</v>
      </c>
      <c r="B230" t="s">
        <v>357</v>
      </c>
      <c r="C230" t="s">
        <v>121</v>
      </c>
      <c r="D230" t="s">
        <v>97</v>
      </c>
      <c r="E230" t="s">
        <v>90</v>
      </c>
      <c r="F230" t="s">
        <v>168</v>
      </c>
      <c r="G230" t="s">
        <v>142</v>
      </c>
      <c r="H230">
        <v>8</v>
      </c>
      <c r="I230">
        <v>420</v>
      </c>
      <c r="J230" s="3">
        <v>3360</v>
      </c>
      <c r="K230" s="3">
        <v>1760</v>
      </c>
      <c r="L230" s="3">
        <v>1600</v>
      </c>
    </row>
    <row r="231" spans="1:12" ht="15" customHeight="1" x14ac:dyDescent="0.25">
      <c r="A231">
        <v>8230</v>
      </c>
      <c r="B231" t="s">
        <v>353</v>
      </c>
      <c r="C231" t="s">
        <v>120</v>
      </c>
      <c r="D231" t="s">
        <v>131</v>
      </c>
      <c r="E231" t="s">
        <v>144</v>
      </c>
      <c r="F231" t="s">
        <v>141</v>
      </c>
      <c r="G231" t="s">
        <v>142</v>
      </c>
      <c r="H231">
        <v>4</v>
      </c>
      <c r="I231">
        <v>380</v>
      </c>
      <c r="J231" s="3">
        <v>1520</v>
      </c>
      <c r="K231" s="3">
        <v>720</v>
      </c>
      <c r="L231" s="3">
        <v>800</v>
      </c>
    </row>
    <row r="232" spans="1:12" ht="15" customHeight="1" x14ac:dyDescent="0.25">
      <c r="A232">
        <v>8231</v>
      </c>
      <c r="B232" t="s">
        <v>319</v>
      </c>
      <c r="C232" t="s">
        <v>121</v>
      </c>
      <c r="D232" t="s">
        <v>131</v>
      </c>
      <c r="E232" t="s">
        <v>155</v>
      </c>
      <c r="F232" t="s">
        <v>182</v>
      </c>
      <c r="G232" t="s">
        <v>134</v>
      </c>
      <c r="H232">
        <v>10</v>
      </c>
      <c r="I232">
        <v>140</v>
      </c>
      <c r="J232" s="3">
        <v>1400</v>
      </c>
      <c r="K232" s="3">
        <v>650</v>
      </c>
      <c r="L232" s="3">
        <v>750</v>
      </c>
    </row>
    <row r="233" spans="1:12" ht="15" customHeight="1" x14ac:dyDescent="0.25">
      <c r="A233">
        <v>8232</v>
      </c>
      <c r="B233" t="s">
        <v>358</v>
      </c>
      <c r="C233" t="s">
        <v>120</v>
      </c>
      <c r="D233" t="s">
        <v>131</v>
      </c>
      <c r="E233" t="s">
        <v>148</v>
      </c>
      <c r="F233" t="s">
        <v>180</v>
      </c>
      <c r="G233" t="s">
        <v>146</v>
      </c>
      <c r="H233">
        <v>2</v>
      </c>
      <c r="I233">
        <v>160</v>
      </c>
      <c r="J233" s="3">
        <v>320</v>
      </c>
      <c r="K233" s="3">
        <v>140</v>
      </c>
      <c r="L233" s="3">
        <v>180</v>
      </c>
    </row>
    <row r="234" spans="1:12" ht="15" customHeight="1" x14ac:dyDescent="0.25">
      <c r="A234">
        <v>8233</v>
      </c>
      <c r="B234" t="s">
        <v>282</v>
      </c>
      <c r="C234" t="s">
        <v>120</v>
      </c>
      <c r="D234" t="s">
        <v>131</v>
      </c>
      <c r="E234" t="s">
        <v>155</v>
      </c>
      <c r="F234" t="s">
        <v>141</v>
      </c>
      <c r="G234" t="s">
        <v>139</v>
      </c>
      <c r="H234">
        <v>8</v>
      </c>
      <c r="I234">
        <v>140</v>
      </c>
      <c r="J234" s="3">
        <v>1120</v>
      </c>
      <c r="K234" s="3">
        <v>520</v>
      </c>
      <c r="L234" s="3">
        <v>600</v>
      </c>
    </row>
    <row r="235" spans="1:12" ht="15" customHeight="1" x14ac:dyDescent="0.25">
      <c r="A235">
        <v>8234</v>
      </c>
      <c r="B235" t="s">
        <v>359</v>
      </c>
      <c r="C235" t="s">
        <v>96</v>
      </c>
      <c r="D235" t="s">
        <v>97</v>
      </c>
      <c r="E235" t="s">
        <v>87</v>
      </c>
      <c r="F235" t="s">
        <v>230</v>
      </c>
      <c r="G235" t="s">
        <v>172</v>
      </c>
      <c r="H235">
        <v>1</v>
      </c>
      <c r="I235">
        <v>1200</v>
      </c>
      <c r="J235" s="3">
        <v>1200</v>
      </c>
      <c r="K235" s="3">
        <v>850</v>
      </c>
      <c r="L235" s="3">
        <v>350</v>
      </c>
    </row>
    <row r="236" spans="1:12" ht="15" customHeight="1" x14ac:dyDescent="0.25">
      <c r="A236">
        <v>8235</v>
      </c>
      <c r="B236" t="s">
        <v>360</v>
      </c>
      <c r="C236" t="s">
        <v>96</v>
      </c>
      <c r="D236" t="s">
        <v>97</v>
      </c>
      <c r="E236" t="s">
        <v>90</v>
      </c>
      <c r="F236" t="s">
        <v>252</v>
      </c>
      <c r="G236" t="s">
        <v>142</v>
      </c>
      <c r="H236">
        <v>13</v>
      </c>
      <c r="I236">
        <v>420</v>
      </c>
      <c r="J236" s="3">
        <v>5460</v>
      </c>
      <c r="K236" s="3">
        <v>2860</v>
      </c>
      <c r="L236" s="3">
        <v>2600</v>
      </c>
    </row>
    <row r="237" spans="1:12" ht="15" customHeight="1" x14ac:dyDescent="0.25">
      <c r="A237">
        <v>8236</v>
      </c>
      <c r="B237" t="s">
        <v>361</v>
      </c>
      <c r="C237" t="s">
        <v>119</v>
      </c>
      <c r="D237" t="s">
        <v>131</v>
      </c>
      <c r="E237" t="s">
        <v>155</v>
      </c>
      <c r="F237" t="s">
        <v>212</v>
      </c>
      <c r="G237" t="s">
        <v>142</v>
      </c>
      <c r="H237">
        <v>7</v>
      </c>
      <c r="I237">
        <v>140</v>
      </c>
      <c r="J237" s="3">
        <v>980</v>
      </c>
      <c r="K237" s="3">
        <v>455</v>
      </c>
      <c r="L237" s="3">
        <v>525</v>
      </c>
    </row>
    <row r="238" spans="1:12" ht="15" customHeight="1" x14ac:dyDescent="0.25">
      <c r="A238">
        <v>8237</v>
      </c>
      <c r="B238" t="s">
        <v>362</v>
      </c>
      <c r="C238" t="s">
        <v>119</v>
      </c>
      <c r="D238" t="s">
        <v>136</v>
      </c>
      <c r="E238" t="s">
        <v>160</v>
      </c>
      <c r="F238" t="s">
        <v>163</v>
      </c>
      <c r="G238" t="s">
        <v>164</v>
      </c>
      <c r="H238">
        <v>9</v>
      </c>
      <c r="I238">
        <v>15</v>
      </c>
      <c r="J238" s="3">
        <v>135</v>
      </c>
      <c r="K238" s="3">
        <v>45</v>
      </c>
      <c r="L238" s="3">
        <v>90</v>
      </c>
    </row>
    <row r="239" spans="1:12" ht="15" customHeight="1" x14ac:dyDescent="0.25">
      <c r="A239">
        <v>8238</v>
      </c>
      <c r="B239" t="s">
        <v>363</v>
      </c>
      <c r="C239" t="s">
        <v>120</v>
      </c>
      <c r="D239" t="s">
        <v>131</v>
      </c>
      <c r="E239" t="s">
        <v>132</v>
      </c>
      <c r="F239" t="s">
        <v>195</v>
      </c>
      <c r="G239" t="s">
        <v>164</v>
      </c>
      <c r="H239">
        <v>4</v>
      </c>
      <c r="I239">
        <v>190</v>
      </c>
      <c r="J239" s="3">
        <v>760</v>
      </c>
      <c r="K239" s="3">
        <v>360</v>
      </c>
      <c r="L239" s="3">
        <v>400</v>
      </c>
    </row>
    <row r="240" spans="1:12" ht="15" customHeight="1" x14ac:dyDescent="0.25">
      <c r="A240">
        <v>8239</v>
      </c>
      <c r="B240" t="s">
        <v>354</v>
      </c>
      <c r="C240" t="s">
        <v>121</v>
      </c>
      <c r="D240" t="s">
        <v>136</v>
      </c>
      <c r="E240" t="s">
        <v>137</v>
      </c>
      <c r="F240" t="s">
        <v>133</v>
      </c>
      <c r="G240" t="s">
        <v>176</v>
      </c>
      <c r="H240">
        <v>14</v>
      </c>
      <c r="I240">
        <v>9</v>
      </c>
      <c r="J240" s="3">
        <v>126</v>
      </c>
      <c r="K240" s="3">
        <v>42</v>
      </c>
      <c r="L240" s="3">
        <v>84</v>
      </c>
    </row>
    <row r="241" spans="1:12" ht="15" customHeight="1" x14ac:dyDescent="0.25">
      <c r="A241">
        <v>8240</v>
      </c>
      <c r="B241" t="s">
        <v>364</v>
      </c>
      <c r="C241" t="s">
        <v>121</v>
      </c>
      <c r="D241" t="s">
        <v>136</v>
      </c>
      <c r="E241" t="s">
        <v>160</v>
      </c>
      <c r="F241" t="s">
        <v>170</v>
      </c>
      <c r="G241" t="s">
        <v>202</v>
      </c>
      <c r="H241">
        <v>15</v>
      </c>
      <c r="I241">
        <v>15</v>
      </c>
      <c r="J241" s="3">
        <v>225</v>
      </c>
      <c r="K241" s="3">
        <v>75</v>
      </c>
      <c r="L241" s="3">
        <v>150</v>
      </c>
    </row>
    <row r="242" spans="1:12" ht="15" customHeight="1" x14ac:dyDescent="0.25">
      <c r="A242">
        <v>8241</v>
      </c>
      <c r="B242" t="s">
        <v>365</v>
      </c>
      <c r="C242" t="s">
        <v>119</v>
      </c>
      <c r="D242" t="s">
        <v>131</v>
      </c>
      <c r="E242" t="s">
        <v>144</v>
      </c>
      <c r="F242" t="s">
        <v>141</v>
      </c>
      <c r="G242" t="s">
        <v>142</v>
      </c>
      <c r="H242">
        <v>8</v>
      </c>
      <c r="I242">
        <v>380</v>
      </c>
      <c r="J242" s="3">
        <v>3040</v>
      </c>
      <c r="K242" s="3">
        <v>1440</v>
      </c>
      <c r="L242" s="3">
        <v>1600</v>
      </c>
    </row>
    <row r="243" spans="1:12" ht="15" customHeight="1" x14ac:dyDescent="0.25">
      <c r="A243">
        <v>8242</v>
      </c>
      <c r="B243" t="s">
        <v>366</v>
      </c>
      <c r="C243" t="s">
        <v>119</v>
      </c>
      <c r="D243" t="s">
        <v>97</v>
      </c>
      <c r="E243" t="s">
        <v>87</v>
      </c>
      <c r="F243" t="s">
        <v>149</v>
      </c>
      <c r="G243" t="s">
        <v>146</v>
      </c>
      <c r="H243">
        <v>14</v>
      </c>
      <c r="I243">
        <v>1200</v>
      </c>
      <c r="J243" s="3">
        <v>16800</v>
      </c>
      <c r="K243" s="3">
        <v>11900</v>
      </c>
      <c r="L243" s="3">
        <v>4900</v>
      </c>
    </row>
    <row r="244" spans="1:12" ht="15" customHeight="1" x14ac:dyDescent="0.25">
      <c r="A244">
        <v>8243</v>
      </c>
      <c r="B244" t="s">
        <v>367</v>
      </c>
      <c r="C244" t="s">
        <v>120</v>
      </c>
      <c r="D244" t="s">
        <v>131</v>
      </c>
      <c r="E244" t="s">
        <v>155</v>
      </c>
      <c r="F244" t="s">
        <v>230</v>
      </c>
      <c r="G244" t="s">
        <v>142</v>
      </c>
      <c r="H244">
        <v>13</v>
      </c>
      <c r="I244">
        <v>140</v>
      </c>
      <c r="J244" s="3">
        <v>1820</v>
      </c>
      <c r="K244" s="3">
        <v>845</v>
      </c>
      <c r="L244" s="3">
        <v>975</v>
      </c>
    </row>
    <row r="245" spans="1:12" ht="15" customHeight="1" x14ac:dyDescent="0.25">
      <c r="A245">
        <v>8244</v>
      </c>
      <c r="B245" t="s">
        <v>368</v>
      </c>
      <c r="C245" t="s">
        <v>121</v>
      </c>
      <c r="D245" t="s">
        <v>131</v>
      </c>
      <c r="E245" t="s">
        <v>132</v>
      </c>
      <c r="F245" t="s">
        <v>230</v>
      </c>
      <c r="G245" t="s">
        <v>202</v>
      </c>
      <c r="H245">
        <v>2</v>
      </c>
      <c r="I245">
        <v>190</v>
      </c>
      <c r="J245" s="3">
        <v>380</v>
      </c>
      <c r="K245" s="3">
        <v>180</v>
      </c>
      <c r="L245" s="3">
        <v>200</v>
      </c>
    </row>
    <row r="246" spans="1:12" ht="15" customHeight="1" x14ac:dyDescent="0.25">
      <c r="A246">
        <v>8245</v>
      </c>
      <c r="B246" t="s">
        <v>369</v>
      </c>
      <c r="C246" t="s">
        <v>96</v>
      </c>
      <c r="D246" t="s">
        <v>131</v>
      </c>
      <c r="E246" t="s">
        <v>155</v>
      </c>
      <c r="F246" t="s">
        <v>195</v>
      </c>
      <c r="G246" t="s">
        <v>134</v>
      </c>
      <c r="H246">
        <v>12</v>
      </c>
      <c r="I246">
        <v>140</v>
      </c>
      <c r="J246" s="3">
        <v>1680</v>
      </c>
      <c r="K246" s="3">
        <v>780</v>
      </c>
      <c r="L246" s="3">
        <v>900</v>
      </c>
    </row>
    <row r="247" spans="1:12" ht="15" customHeight="1" x14ac:dyDescent="0.25">
      <c r="A247">
        <v>8246</v>
      </c>
      <c r="B247" t="s">
        <v>347</v>
      </c>
      <c r="C247" t="s">
        <v>121</v>
      </c>
      <c r="D247" t="s">
        <v>136</v>
      </c>
      <c r="E247" t="s">
        <v>160</v>
      </c>
      <c r="F247" t="s">
        <v>217</v>
      </c>
      <c r="G247" t="s">
        <v>172</v>
      </c>
      <c r="H247">
        <v>2</v>
      </c>
      <c r="I247">
        <v>15</v>
      </c>
      <c r="J247" s="3">
        <v>30</v>
      </c>
      <c r="K247" s="3">
        <v>10</v>
      </c>
      <c r="L247" s="3">
        <v>20</v>
      </c>
    </row>
    <row r="248" spans="1:12" ht="15" customHeight="1" x14ac:dyDescent="0.25">
      <c r="A248">
        <v>8247</v>
      </c>
      <c r="B248" t="s">
        <v>345</v>
      </c>
      <c r="C248" t="s">
        <v>96</v>
      </c>
      <c r="D248" t="s">
        <v>97</v>
      </c>
      <c r="E248" t="s">
        <v>87</v>
      </c>
      <c r="F248" t="s">
        <v>182</v>
      </c>
      <c r="G248" t="s">
        <v>146</v>
      </c>
      <c r="H248">
        <v>13</v>
      </c>
      <c r="I248">
        <v>1200</v>
      </c>
      <c r="J248" s="3">
        <v>15600</v>
      </c>
      <c r="K248" s="3">
        <v>11050</v>
      </c>
      <c r="L248" s="3">
        <v>4550</v>
      </c>
    </row>
    <row r="249" spans="1:12" ht="15" customHeight="1" x14ac:dyDescent="0.25">
      <c r="A249">
        <v>8248</v>
      </c>
      <c r="B249" t="s">
        <v>370</v>
      </c>
      <c r="C249" t="s">
        <v>120</v>
      </c>
      <c r="D249" t="s">
        <v>97</v>
      </c>
      <c r="E249" t="s">
        <v>90</v>
      </c>
      <c r="F249" t="s">
        <v>227</v>
      </c>
      <c r="G249" t="s">
        <v>142</v>
      </c>
      <c r="H249">
        <v>13</v>
      </c>
      <c r="I249">
        <v>420</v>
      </c>
      <c r="J249" s="3">
        <v>5460</v>
      </c>
      <c r="K249" s="3">
        <v>2860</v>
      </c>
      <c r="L249" s="3">
        <v>2600</v>
      </c>
    </row>
    <row r="250" spans="1:12" ht="15" customHeight="1" x14ac:dyDescent="0.25">
      <c r="A250">
        <v>8249</v>
      </c>
      <c r="B250" t="s">
        <v>173</v>
      </c>
      <c r="C250" t="s">
        <v>96</v>
      </c>
      <c r="D250" t="s">
        <v>97</v>
      </c>
      <c r="E250" t="s">
        <v>151</v>
      </c>
      <c r="F250" t="s">
        <v>252</v>
      </c>
      <c r="G250" t="s">
        <v>134</v>
      </c>
      <c r="H250">
        <v>4</v>
      </c>
      <c r="I250">
        <v>75</v>
      </c>
      <c r="J250" s="3">
        <v>300</v>
      </c>
      <c r="K250" s="3">
        <v>120</v>
      </c>
      <c r="L250" s="3">
        <v>180</v>
      </c>
    </row>
    <row r="251" spans="1:12" ht="15" customHeight="1" x14ac:dyDescent="0.25">
      <c r="A251">
        <v>8250</v>
      </c>
      <c r="B251" t="s">
        <v>371</v>
      </c>
      <c r="C251" t="s">
        <v>119</v>
      </c>
      <c r="D251" t="s">
        <v>131</v>
      </c>
      <c r="E251" t="s">
        <v>155</v>
      </c>
      <c r="F251" t="s">
        <v>182</v>
      </c>
      <c r="G251" t="s">
        <v>164</v>
      </c>
      <c r="H251">
        <v>8</v>
      </c>
      <c r="I251">
        <v>140</v>
      </c>
      <c r="J251" s="3">
        <v>1120</v>
      </c>
      <c r="K251" s="3">
        <v>520</v>
      </c>
      <c r="L251" s="3">
        <v>600</v>
      </c>
    </row>
    <row r="252" spans="1:12" ht="15" customHeight="1" x14ac:dyDescent="0.25">
      <c r="A252">
        <v>8251</v>
      </c>
      <c r="B252" t="s">
        <v>372</v>
      </c>
      <c r="C252" t="s">
        <v>96</v>
      </c>
      <c r="D252" t="s">
        <v>131</v>
      </c>
      <c r="E252" t="s">
        <v>132</v>
      </c>
      <c r="F252" t="s">
        <v>141</v>
      </c>
      <c r="G252" t="s">
        <v>146</v>
      </c>
      <c r="H252">
        <v>15</v>
      </c>
      <c r="I252">
        <v>190</v>
      </c>
      <c r="J252" s="3">
        <v>2850</v>
      </c>
      <c r="K252" s="3">
        <v>1350</v>
      </c>
      <c r="L252" s="3">
        <v>1500</v>
      </c>
    </row>
    <row r="253" spans="1:12" ht="15" customHeight="1" x14ac:dyDescent="0.25">
      <c r="A253">
        <v>8252</v>
      </c>
      <c r="B253" t="s">
        <v>169</v>
      </c>
      <c r="C253" t="s">
        <v>120</v>
      </c>
      <c r="D253" t="s">
        <v>97</v>
      </c>
      <c r="E253" t="s">
        <v>90</v>
      </c>
      <c r="F253" t="s">
        <v>227</v>
      </c>
      <c r="G253" t="s">
        <v>139</v>
      </c>
      <c r="H253">
        <v>13</v>
      </c>
      <c r="I253">
        <v>420</v>
      </c>
      <c r="J253" s="3">
        <v>5460</v>
      </c>
      <c r="K253" s="3">
        <v>2860</v>
      </c>
      <c r="L253" s="3">
        <v>2600</v>
      </c>
    </row>
    <row r="254" spans="1:12" ht="15" customHeight="1" x14ac:dyDescent="0.25">
      <c r="A254">
        <v>8253</v>
      </c>
      <c r="B254" t="s">
        <v>373</v>
      </c>
      <c r="C254" t="s">
        <v>121</v>
      </c>
      <c r="D254" t="s">
        <v>131</v>
      </c>
      <c r="E254" t="s">
        <v>148</v>
      </c>
      <c r="F254" t="s">
        <v>217</v>
      </c>
      <c r="G254" t="s">
        <v>172</v>
      </c>
      <c r="H254">
        <v>7</v>
      </c>
      <c r="I254">
        <v>160</v>
      </c>
      <c r="J254" s="3">
        <v>1120</v>
      </c>
      <c r="K254" s="3">
        <v>490</v>
      </c>
      <c r="L254" s="3">
        <v>630</v>
      </c>
    </row>
    <row r="255" spans="1:12" ht="15" customHeight="1" x14ac:dyDescent="0.25">
      <c r="A255">
        <v>8254</v>
      </c>
      <c r="B255" t="s">
        <v>273</v>
      </c>
      <c r="C255" t="s">
        <v>96</v>
      </c>
      <c r="D255" t="s">
        <v>97</v>
      </c>
      <c r="E255" t="s">
        <v>157</v>
      </c>
      <c r="F255" t="s">
        <v>217</v>
      </c>
      <c r="G255" t="s">
        <v>176</v>
      </c>
      <c r="H255">
        <v>13</v>
      </c>
      <c r="I255">
        <v>25</v>
      </c>
      <c r="J255" s="3">
        <v>325</v>
      </c>
      <c r="K255" s="3">
        <v>104</v>
      </c>
      <c r="L255" s="3">
        <v>221</v>
      </c>
    </row>
    <row r="256" spans="1:12" ht="15" customHeight="1" x14ac:dyDescent="0.25">
      <c r="A256">
        <v>8255</v>
      </c>
      <c r="B256" t="s">
        <v>359</v>
      </c>
      <c r="C256" t="s">
        <v>121</v>
      </c>
      <c r="D256" t="s">
        <v>97</v>
      </c>
      <c r="E256" t="s">
        <v>157</v>
      </c>
      <c r="F256" t="s">
        <v>174</v>
      </c>
      <c r="G256" t="s">
        <v>142</v>
      </c>
      <c r="H256">
        <v>15</v>
      </c>
      <c r="I256">
        <v>25</v>
      </c>
      <c r="J256" s="3">
        <v>375</v>
      </c>
      <c r="K256" s="3">
        <v>120</v>
      </c>
      <c r="L256" s="3">
        <v>255</v>
      </c>
    </row>
    <row r="257" spans="1:12" ht="15" customHeight="1" x14ac:dyDescent="0.25">
      <c r="A257">
        <v>8256</v>
      </c>
      <c r="B257" t="s">
        <v>326</v>
      </c>
      <c r="C257" t="s">
        <v>119</v>
      </c>
      <c r="D257" t="s">
        <v>131</v>
      </c>
      <c r="E257" t="s">
        <v>144</v>
      </c>
      <c r="F257" t="s">
        <v>209</v>
      </c>
      <c r="G257" t="s">
        <v>142</v>
      </c>
      <c r="H257">
        <v>4</v>
      </c>
      <c r="I257">
        <v>380</v>
      </c>
      <c r="J257" s="3">
        <v>1520</v>
      </c>
      <c r="K257" s="3">
        <v>720</v>
      </c>
      <c r="L257" s="3">
        <v>800</v>
      </c>
    </row>
    <row r="258" spans="1:12" ht="15" customHeight="1" x14ac:dyDescent="0.25">
      <c r="A258">
        <v>8257</v>
      </c>
      <c r="B258" t="s">
        <v>307</v>
      </c>
      <c r="C258" t="s">
        <v>96</v>
      </c>
      <c r="D258" t="s">
        <v>97</v>
      </c>
      <c r="E258" t="s">
        <v>87</v>
      </c>
      <c r="F258" t="s">
        <v>149</v>
      </c>
      <c r="G258" t="s">
        <v>202</v>
      </c>
      <c r="H258">
        <v>11</v>
      </c>
      <c r="I258">
        <v>1200</v>
      </c>
      <c r="J258" s="3">
        <v>13200</v>
      </c>
      <c r="K258" s="3">
        <v>9350</v>
      </c>
      <c r="L258" s="3">
        <v>3850</v>
      </c>
    </row>
    <row r="259" spans="1:12" ht="15" customHeight="1" x14ac:dyDescent="0.25">
      <c r="A259">
        <v>8258</v>
      </c>
      <c r="B259" t="s">
        <v>289</v>
      </c>
      <c r="C259" t="s">
        <v>121</v>
      </c>
      <c r="D259" t="s">
        <v>97</v>
      </c>
      <c r="E259" t="s">
        <v>157</v>
      </c>
      <c r="F259" t="s">
        <v>189</v>
      </c>
      <c r="G259" t="s">
        <v>142</v>
      </c>
      <c r="H259">
        <v>9</v>
      </c>
      <c r="I259">
        <v>25</v>
      </c>
      <c r="J259" s="3">
        <v>225</v>
      </c>
      <c r="K259" s="3">
        <v>72</v>
      </c>
      <c r="L259" s="3">
        <v>153</v>
      </c>
    </row>
    <row r="260" spans="1:12" ht="15" customHeight="1" x14ac:dyDescent="0.25">
      <c r="A260">
        <v>8259</v>
      </c>
      <c r="B260" t="s">
        <v>374</v>
      </c>
      <c r="C260" t="s">
        <v>96</v>
      </c>
      <c r="D260" t="s">
        <v>97</v>
      </c>
      <c r="E260" t="s">
        <v>90</v>
      </c>
      <c r="F260" t="s">
        <v>217</v>
      </c>
      <c r="G260" t="s">
        <v>202</v>
      </c>
      <c r="H260">
        <v>13</v>
      </c>
      <c r="I260">
        <v>420</v>
      </c>
      <c r="J260" s="3">
        <v>5460</v>
      </c>
      <c r="K260" s="3">
        <v>2860</v>
      </c>
      <c r="L260" s="3">
        <v>2600</v>
      </c>
    </row>
    <row r="261" spans="1:12" ht="15" customHeight="1" x14ac:dyDescent="0.25">
      <c r="A261">
        <v>8260</v>
      </c>
      <c r="B261" t="s">
        <v>375</v>
      </c>
      <c r="C261" t="s">
        <v>119</v>
      </c>
      <c r="D261" t="s">
        <v>131</v>
      </c>
      <c r="E261" t="s">
        <v>148</v>
      </c>
      <c r="F261" t="s">
        <v>195</v>
      </c>
      <c r="G261" t="s">
        <v>146</v>
      </c>
      <c r="H261">
        <v>11</v>
      </c>
      <c r="I261">
        <v>160</v>
      </c>
      <c r="J261" s="3">
        <v>1760</v>
      </c>
      <c r="K261" s="3">
        <v>770</v>
      </c>
      <c r="L261" s="3">
        <v>990</v>
      </c>
    </row>
    <row r="262" spans="1:12" ht="15" customHeight="1" x14ac:dyDescent="0.25">
      <c r="A262">
        <v>8261</v>
      </c>
      <c r="B262" t="s">
        <v>376</v>
      </c>
      <c r="C262" t="s">
        <v>120</v>
      </c>
      <c r="D262" t="s">
        <v>131</v>
      </c>
      <c r="E262" t="s">
        <v>144</v>
      </c>
      <c r="F262" t="s">
        <v>238</v>
      </c>
      <c r="G262" t="s">
        <v>139</v>
      </c>
      <c r="H262">
        <v>9</v>
      </c>
      <c r="I262">
        <v>380</v>
      </c>
      <c r="J262" s="3">
        <v>3420</v>
      </c>
      <c r="K262" s="3">
        <v>1620</v>
      </c>
      <c r="L262" s="3">
        <v>1800</v>
      </c>
    </row>
    <row r="263" spans="1:12" ht="15" customHeight="1" x14ac:dyDescent="0.25">
      <c r="A263">
        <v>8262</v>
      </c>
      <c r="B263" t="s">
        <v>319</v>
      </c>
      <c r="C263" t="s">
        <v>121</v>
      </c>
      <c r="D263" t="s">
        <v>131</v>
      </c>
      <c r="E263" t="s">
        <v>155</v>
      </c>
      <c r="F263" t="s">
        <v>195</v>
      </c>
      <c r="G263" t="s">
        <v>139</v>
      </c>
      <c r="H263">
        <v>5</v>
      </c>
      <c r="I263">
        <v>140</v>
      </c>
      <c r="J263" s="3">
        <v>700</v>
      </c>
      <c r="K263" s="3">
        <v>325</v>
      </c>
      <c r="L263" s="3">
        <v>375</v>
      </c>
    </row>
    <row r="264" spans="1:12" ht="15" customHeight="1" x14ac:dyDescent="0.25">
      <c r="A264">
        <v>8263</v>
      </c>
      <c r="B264" t="s">
        <v>377</v>
      </c>
      <c r="C264" t="s">
        <v>96</v>
      </c>
      <c r="D264" t="s">
        <v>131</v>
      </c>
      <c r="E264" t="s">
        <v>155</v>
      </c>
      <c r="F264" t="s">
        <v>138</v>
      </c>
      <c r="G264" t="s">
        <v>146</v>
      </c>
      <c r="H264">
        <v>5</v>
      </c>
      <c r="I264">
        <v>140</v>
      </c>
      <c r="J264" s="3">
        <v>700</v>
      </c>
      <c r="K264" s="3">
        <v>325</v>
      </c>
      <c r="L264" s="3">
        <v>375</v>
      </c>
    </row>
    <row r="265" spans="1:12" ht="15" customHeight="1" x14ac:dyDescent="0.25">
      <c r="A265">
        <v>8264</v>
      </c>
      <c r="B265" t="s">
        <v>351</v>
      </c>
      <c r="C265" t="s">
        <v>121</v>
      </c>
      <c r="D265" t="s">
        <v>97</v>
      </c>
      <c r="E265" t="s">
        <v>87</v>
      </c>
      <c r="F265" t="s">
        <v>278</v>
      </c>
      <c r="G265" t="s">
        <v>139</v>
      </c>
      <c r="H265">
        <v>13</v>
      </c>
      <c r="I265">
        <v>1200</v>
      </c>
      <c r="J265" s="3">
        <v>15600</v>
      </c>
      <c r="K265" s="3">
        <v>11050</v>
      </c>
      <c r="L265" s="3">
        <v>4550</v>
      </c>
    </row>
    <row r="266" spans="1:12" ht="15" customHeight="1" x14ac:dyDescent="0.25">
      <c r="A266">
        <v>8265</v>
      </c>
      <c r="B266" t="s">
        <v>378</v>
      </c>
      <c r="C266" t="s">
        <v>121</v>
      </c>
      <c r="D266" t="s">
        <v>131</v>
      </c>
      <c r="E266" t="s">
        <v>148</v>
      </c>
      <c r="F266" t="s">
        <v>217</v>
      </c>
      <c r="G266" t="s">
        <v>142</v>
      </c>
      <c r="H266">
        <v>14</v>
      </c>
      <c r="I266">
        <v>160</v>
      </c>
      <c r="J266" s="3">
        <v>2240</v>
      </c>
      <c r="K266" s="3">
        <v>980</v>
      </c>
      <c r="L266" s="3">
        <v>1260</v>
      </c>
    </row>
    <row r="267" spans="1:12" ht="15" customHeight="1" x14ac:dyDescent="0.25">
      <c r="A267">
        <v>8266</v>
      </c>
      <c r="B267" t="s">
        <v>375</v>
      </c>
      <c r="C267" t="s">
        <v>119</v>
      </c>
      <c r="D267" t="s">
        <v>131</v>
      </c>
      <c r="E267" t="s">
        <v>155</v>
      </c>
      <c r="F267" t="s">
        <v>280</v>
      </c>
      <c r="G267" t="s">
        <v>134</v>
      </c>
      <c r="H267">
        <v>6</v>
      </c>
      <c r="I267">
        <v>140</v>
      </c>
      <c r="J267" s="3">
        <v>840</v>
      </c>
      <c r="K267" s="3">
        <v>390</v>
      </c>
      <c r="L267" s="3">
        <v>450</v>
      </c>
    </row>
    <row r="268" spans="1:12" ht="15" customHeight="1" x14ac:dyDescent="0.25">
      <c r="A268">
        <v>8267</v>
      </c>
      <c r="B268" t="s">
        <v>344</v>
      </c>
      <c r="C268" t="s">
        <v>96</v>
      </c>
      <c r="D268" t="s">
        <v>97</v>
      </c>
      <c r="E268" t="s">
        <v>157</v>
      </c>
      <c r="F268" t="s">
        <v>338</v>
      </c>
      <c r="G268" t="s">
        <v>202</v>
      </c>
      <c r="H268">
        <v>6</v>
      </c>
      <c r="I268">
        <v>25</v>
      </c>
      <c r="J268" s="3">
        <v>150</v>
      </c>
      <c r="K268" s="3">
        <v>48</v>
      </c>
      <c r="L268" s="3">
        <v>102</v>
      </c>
    </row>
    <row r="269" spans="1:12" ht="15" customHeight="1" x14ac:dyDescent="0.25">
      <c r="A269">
        <v>8268</v>
      </c>
      <c r="B269" t="s">
        <v>379</v>
      </c>
      <c r="C269" t="s">
        <v>121</v>
      </c>
      <c r="D269" t="s">
        <v>97</v>
      </c>
      <c r="E269" t="s">
        <v>87</v>
      </c>
      <c r="F269" t="s">
        <v>243</v>
      </c>
      <c r="G269" t="s">
        <v>172</v>
      </c>
      <c r="H269">
        <v>9</v>
      </c>
      <c r="I269">
        <v>1200</v>
      </c>
      <c r="J269" s="3">
        <v>10800</v>
      </c>
      <c r="K269" s="3">
        <v>7650</v>
      </c>
      <c r="L269" s="3">
        <v>3150</v>
      </c>
    </row>
    <row r="270" spans="1:12" ht="15" customHeight="1" x14ac:dyDescent="0.25">
      <c r="A270">
        <v>8269</v>
      </c>
      <c r="B270" t="s">
        <v>289</v>
      </c>
      <c r="C270" t="s">
        <v>119</v>
      </c>
      <c r="D270" t="s">
        <v>97</v>
      </c>
      <c r="E270" t="s">
        <v>90</v>
      </c>
      <c r="F270" t="s">
        <v>170</v>
      </c>
      <c r="G270" t="s">
        <v>172</v>
      </c>
      <c r="H270">
        <v>5</v>
      </c>
      <c r="I270">
        <v>420</v>
      </c>
      <c r="J270" s="3">
        <v>2100</v>
      </c>
      <c r="K270" s="3">
        <v>1100</v>
      </c>
      <c r="L270" s="3">
        <v>1000</v>
      </c>
    </row>
    <row r="271" spans="1:12" ht="15" customHeight="1" x14ac:dyDescent="0.25">
      <c r="A271">
        <v>8270</v>
      </c>
      <c r="B271" t="s">
        <v>341</v>
      </c>
      <c r="C271" t="s">
        <v>96</v>
      </c>
      <c r="D271" t="s">
        <v>136</v>
      </c>
      <c r="E271" t="s">
        <v>160</v>
      </c>
      <c r="F271" t="s">
        <v>161</v>
      </c>
      <c r="G271" t="s">
        <v>202</v>
      </c>
      <c r="H271">
        <v>5</v>
      </c>
      <c r="I271">
        <v>15</v>
      </c>
      <c r="J271" s="3">
        <v>75</v>
      </c>
      <c r="K271" s="3">
        <v>25</v>
      </c>
      <c r="L271" s="3">
        <v>50</v>
      </c>
    </row>
    <row r="272" spans="1:12" ht="15" customHeight="1" x14ac:dyDescent="0.25">
      <c r="A272">
        <v>8271</v>
      </c>
      <c r="B272" t="s">
        <v>226</v>
      </c>
      <c r="C272" t="s">
        <v>119</v>
      </c>
      <c r="D272" t="s">
        <v>97</v>
      </c>
      <c r="E272" t="s">
        <v>87</v>
      </c>
      <c r="F272" t="s">
        <v>163</v>
      </c>
      <c r="G272" t="s">
        <v>134</v>
      </c>
      <c r="H272">
        <v>10</v>
      </c>
      <c r="I272">
        <v>1200</v>
      </c>
      <c r="J272" s="3">
        <v>12000</v>
      </c>
      <c r="K272" s="3">
        <v>8500</v>
      </c>
      <c r="L272" s="3">
        <v>3500</v>
      </c>
    </row>
    <row r="273" spans="1:12" ht="15" customHeight="1" x14ac:dyDescent="0.25">
      <c r="A273">
        <v>8272</v>
      </c>
      <c r="B273" t="s">
        <v>240</v>
      </c>
      <c r="C273" t="s">
        <v>119</v>
      </c>
      <c r="D273" t="s">
        <v>97</v>
      </c>
      <c r="E273" t="s">
        <v>157</v>
      </c>
      <c r="F273" t="s">
        <v>133</v>
      </c>
      <c r="G273" t="s">
        <v>142</v>
      </c>
      <c r="H273">
        <v>10</v>
      </c>
      <c r="I273">
        <v>25</v>
      </c>
      <c r="J273" s="3">
        <v>250</v>
      </c>
      <c r="K273" s="3">
        <v>80</v>
      </c>
      <c r="L273" s="3">
        <v>170</v>
      </c>
    </row>
    <row r="274" spans="1:12" ht="15" customHeight="1" x14ac:dyDescent="0.25">
      <c r="A274">
        <v>8273</v>
      </c>
      <c r="B274" t="s">
        <v>224</v>
      </c>
      <c r="C274" t="s">
        <v>119</v>
      </c>
      <c r="D274" t="s">
        <v>97</v>
      </c>
      <c r="E274" t="s">
        <v>151</v>
      </c>
      <c r="F274" t="s">
        <v>238</v>
      </c>
      <c r="G274" t="s">
        <v>134</v>
      </c>
      <c r="H274">
        <v>1</v>
      </c>
      <c r="I274">
        <v>75</v>
      </c>
      <c r="J274" s="3">
        <v>75</v>
      </c>
      <c r="K274" s="3">
        <v>30</v>
      </c>
      <c r="L274" s="3">
        <v>45</v>
      </c>
    </row>
    <row r="275" spans="1:12" ht="15" customHeight="1" x14ac:dyDescent="0.25">
      <c r="A275">
        <v>8274</v>
      </c>
      <c r="B275" t="s">
        <v>380</v>
      </c>
      <c r="C275" t="s">
        <v>119</v>
      </c>
      <c r="D275" t="s">
        <v>131</v>
      </c>
      <c r="E275" t="s">
        <v>132</v>
      </c>
      <c r="F275" t="s">
        <v>182</v>
      </c>
      <c r="G275" t="s">
        <v>139</v>
      </c>
      <c r="H275">
        <v>4</v>
      </c>
      <c r="I275">
        <v>190</v>
      </c>
      <c r="J275" s="3">
        <v>760</v>
      </c>
      <c r="K275" s="3">
        <v>360</v>
      </c>
      <c r="L275" s="3">
        <v>400</v>
      </c>
    </row>
    <row r="276" spans="1:12" ht="15" customHeight="1" x14ac:dyDescent="0.25">
      <c r="A276">
        <v>8275</v>
      </c>
      <c r="B276" t="s">
        <v>381</v>
      </c>
      <c r="C276" t="s">
        <v>120</v>
      </c>
      <c r="D276" t="s">
        <v>97</v>
      </c>
      <c r="E276" t="s">
        <v>87</v>
      </c>
      <c r="F276" t="s">
        <v>145</v>
      </c>
      <c r="G276" t="s">
        <v>134</v>
      </c>
      <c r="H276">
        <v>3</v>
      </c>
      <c r="I276">
        <v>1200</v>
      </c>
      <c r="J276" s="3">
        <v>3600</v>
      </c>
      <c r="K276" s="3">
        <v>2550</v>
      </c>
      <c r="L276" s="3">
        <v>1050</v>
      </c>
    </row>
    <row r="277" spans="1:12" ht="15" customHeight="1" x14ac:dyDescent="0.25">
      <c r="A277">
        <v>8276</v>
      </c>
      <c r="B277" t="s">
        <v>382</v>
      </c>
      <c r="C277" t="s">
        <v>121</v>
      </c>
      <c r="D277" t="s">
        <v>131</v>
      </c>
      <c r="E277" t="s">
        <v>148</v>
      </c>
      <c r="F277" t="s">
        <v>163</v>
      </c>
      <c r="G277" t="s">
        <v>146</v>
      </c>
      <c r="H277">
        <v>5</v>
      </c>
      <c r="I277">
        <v>160</v>
      </c>
      <c r="J277" s="3">
        <v>800</v>
      </c>
      <c r="K277" s="3">
        <v>350</v>
      </c>
      <c r="L277" s="3">
        <v>450</v>
      </c>
    </row>
    <row r="278" spans="1:12" ht="15" customHeight="1" x14ac:dyDescent="0.25">
      <c r="A278">
        <v>8277</v>
      </c>
      <c r="B278" t="s">
        <v>383</v>
      </c>
      <c r="C278" t="s">
        <v>121</v>
      </c>
      <c r="D278" t="s">
        <v>131</v>
      </c>
      <c r="E278" t="s">
        <v>155</v>
      </c>
      <c r="F278" t="s">
        <v>209</v>
      </c>
      <c r="G278" t="s">
        <v>139</v>
      </c>
      <c r="H278">
        <v>3</v>
      </c>
      <c r="I278">
        <v>140</v>
      </c>
      <c r="J278" s="3">
        <v>420</v>
      </c>
      <c r="K278" s="3">
        <v>195</v>
      </c>
      <c r="L278" s="3">
        <v>225</v>
      </c>
    </row>
    <row r="279" spans="1:12" ht="15" customHeight="1" x14ac:dyDescent="0.25">
      <c r="A279">
        <v>8278</v>
      </c>
      <c r="B279" t="s">
        <v>384</v>
      </c>
      <c r="C279" t="s">
        <v>120</v>
      </c>
      <c r="D279" t="s">
        <v>131</v>
      </c>
      <c r="E279" t="s">
        <v>148</v>
      </c>
      <c r="F279" t="s">
        <v>230</v>
      </c>
      <c r="G279" t="s">
        <v>139</v>
      </c>
      <c r="H279">
        <v>4</v>
      </c>
      <c r="I279">
        <v>160</v>
      </c>
      <c r="J279" s="3">
        <v>640</v>
      </c>
      <c r="K279" s="3">
        <v>280</v>
      </c>
      <c r="L279" s="3">
        <v>360</v>
      </c>
    </row>
    <row r="280" spans="1:12" ht="15" customHeight="1" x14ac:dyDescent="0.25">
      <c r="A280">
        <v>8279</v>
      </c>
      <c r="B280" t="s">
        <v>385</v>
      </c>
      <c r="C280" t="s">
        <v>96</v>
      </c>
      <c r="D280" t="s">
        <v>97</v>
      </c>
      <c r="E280" t="s">
        <v>157</v>
      </c>
      <c r="F280" t="s">
        <v>182</v>
      </c>
      <c r="G280" t="s">
        <v>146</v>
      </c>
      <c r="H280">
        <v>1</v>
      </c>
      <c r="I280">
        <v>25</v>
      </c>
      <c r="J280" s="3">
        <v>25</v>
      </c>
      <c r="K280" s="3">
        <v>8</v>
      </c>
      <c r="L280" s="3">
        <v>17</v>
      </c>
    </row>
    <row r="281" spans="1:12" ht="15" customHeight="1" x14ac:dyDescent="0.25">
      <c r="A281">
        <v>8280</v>
      </c>
      <c r="B281" t="s">
        <v>386</v>
      </c>
      <c r="C281" t="s">
        <v>96</v>
      </c>
      <c r="D281" t="s">
        <v>131</v>
      </c>
      <c r="E281" t="s">
        <v>132</v>
      </c>
      <c r="F281" t="s">
        <v>178</v>
      </c>
      <c r="G281" t="s">
        <v>176</v>
      </c>
      <c r="H281">
        <v>7</v>
      </c>
      <c r="I281">
        <v>190</v>
      </c>
      <c r="J281" s="3">
        <v>1330</v>
      </c>
      <c r="K281" s="3">
        <v>630</v>
      </c>
      <c r="L281" s="3">
        <v>700</v>
      </c>
    </row>
    <row r="282" spans="1:12" ht="15" customHeight="1" x14ac:dyDescent="0.25">
      <c r="A282">
        <v>8281</v>
      </c>
      <c r="B282" t="s">
        <v>205</v>
      </c>
      <c r="C282" t="s">
        <v>121</v>
      </c>
      <c r="D282" t="s">
        <v>131</v>
      </c>
      <c r="E282" t="s">
        <v>155</v>
      </c>
      <c r="F282" t="s">
        <v>182</v>
      </c>
      <c r="G282" t="s">
        <v>134</v>
      </c>
      <c r="H282">
        <v>3</v>
      </c>
      <c r="I282">
        <v>140</v>
      </c>
      <c r="J282" s="3">
        <v>420</v>
      </c>
      <c r="K282" s="3">
        <v>195</v>
      </c>
      <c r="L282" s="3">
        <v>225</v>
      </c>
    </row>
    <row r="283" spans="1:12" ht="15" customHeight="1" x14ac:dyDescent="0.25">
      <c r="A283">
        <v>8282</v>
      </c>
      <c r="B283" t="s">
        <v>192</v>
      </c>
      <c r="C283" t="s">
        <v>121</v>
      </c>
      <c r="D283" t="s">
        <v>131</v>
      </c>
      <c r="E283" t="s">
        <v>148</v>
      </c>
      <c r="F283" t="s">
        <v>232</v>
      </c>
      <c r="G283" t="s">
        <v>172</v>
      </c>
      <c r="H283">
        <v>4</v>
      </c>
      <c r="I283">
        <v>160</v>
      </c>
      <c r="J283" s="3">
        <v>640</v>
      </c>
      <c r="K283" s="3">
        <v>280</v>
      </c>
      <c r="L283" s="3">
        <v>360</v>
      </c>
    </row>
    <row r="284" spans="1:12" ht="15" customHeight="1" x14ac:dyDescent="0.25">
      <c r="A284">
        <v>8283</v>
      </c>
      <c r="B284" t="s">
        <v>267</v>
      </c>
      <c r="C284" t="s">
        <v>120</v>
      </c>
      <c r="D284" t="s">
        <v>97</v>
      </c>
      <c r="E284" t="s">
        <v>157</v>
      </c>
      <c r="F284" t="s">
        <v>152</v>
      </c>
      <c r="G284" t="s">
        <v>142</v>
      </c>
      <c r="H284">
        <v>8</v>
      </c>
      <c r="I284">
        <v>25</v>
      </c>
      <c r="J284" s="3">
        <v>200</v>
      </c>
      <c r="K284" s="3">
        <v>64</v>
      </c>
      <c r="L284" s="3">
        <v>136</v>
      </c>
    </row>
    <row r="285" spans="1:12" ht="15" customHeight="1" x14ac:dyDescent="0.25">
      <c r="A285">
        <v>8284</v>
      </c>
      <c r="B285" t="s">
        <v>387</v>
      </c>
      <c r="C285" t="s">
        <v>121</v>
      </c>
      <c r="D285" t="s">
        <v>97</v>
      </c>
      <c r="E285" t="s">
        <v>87</v>
      </c>
      <c r="F285" t="s">
        <v>227</v>
      </c>
      <c r="G285" t="s">
        <v>172</v>
      </c>
      <c r="H285">
        <v>8</v>
      </c>
      <c r="I285">
        <v>1200</v>
      </c>
      <c r="J285" s="3">
        <v>9600</v>
      </c>
      <c r="K285" s="3">
        <v>6800</v>
      </c>
      <c r="L285" s="3">
        <v>2800</v>
      </c>
    </row>
    <row r="286" spans="1:12" ht="15" customHeight="1" x14ac:dyDescent="0.25">
      <c r="A286">
        <v>8285</v>
      </c>
      <c r="B286" t="s">
        <v>388</v>
      </c>
      <c r="C286" t="s">
        <v>120</v>
      </c>
      <c r="D286" t="s">
        <v>131</v>
      </c>
      <c r="E286" t="s">
        <v>144</v>
      </c>
      <c r="F286" t="s">
        <v>209</v>
      </c>
      <c r="G286" t="s">
        <v>164</v>
      </c>
      <c r="H286">
        <v>10</v>
      </c>
      <c r="I286">
        <v>380</v>
      </c>
      <c r="J286" s="3">
        <v>3800</v>
      </c>
      <c r="K286" s="3">
        <v>1800</v>
      </c>
      <c r="L286" s="3">
        <v>2000</v>
      </c>
    </row>
    <row r="287" spans="1:12" ht="15" customHeight="1" x14ac:dyDescent="0.25">
      <c r="A287">
        <v>8286</v>
      </c>
      <c r="B287" t="s">
        <v>316</v>
      </c>
      <c r="C287" t="s">
        <v>119</v>
      </c>
      <c r="D287" t="s">
        <v>136</v>
      </c>
      <c r="E287" t="s">
        <v>160</v>
      </c>
      <c r="F287" t="s">
        <v>178</v>
      </c>
      <c r="G287" t="s">
        <v>142</v>
      </c>
      <c r="H287">
        <v>8</v>
      </c>
      <c r="I287">
        <v>15</v>
      </c>
      <c r="J287" s="3">
        <v>120</v>
      </c>
      <c r="K287" s="3">
        <v>40</v>
      </c>
      <c r="L287" s="3">
        <v>80</v>
      </c>
    </row>
    <row r="288" spans="1:12" ht="15" customHeight="1" x14ac:dyDescent="0.25">
      <c r="A288">
        <v>8287</v>
      </c>
      <c r="B288" t="s">
        <v>389</v>
      </c>
      <c r="C288" t="s">
        <v>120</v>
      </c>
      <c r="D288" t="s">
        <v>131</v>
      </c>
      <c r="E288" t="s">
        <v>148</v>
      </c>
      <c r="F288" t="s">
        <v>133</v>
      </c>
      <c r="G288" t="s">
        <v>134</v>
      </c>
      <c r="H288">
        <v>13</v>
      </c>
      <c r="I288">
        <v>160</v>
      </c>
      <c r="J288" s="3">
        <v>2080</v>
      </c>
      <c r="K288" s="3">
        <v>910</v>
      </c>
      <c r="L288" s="3">
        <v>1170</v>
      </c>
    </row>
    <row r="289" spans="1:12" ht="15" customHeight="1" x14ac:dyDescent="0.25">
      <c r="A289">
        <v>8288</v>
      </c>
      <c r="B289" t="s">
        <v>216</v>
      </c>
      <c r="C289" t="s">
        <v>121</v>
      </c>
      <c r="D289" t="s">
        <v>136</v>
      </c>
      <c r="E289" t="s">
        <v>137</v>
      </c>
      <c r="F289" t="s">
        <v>170</v>
      </c>
      <c r="G289" t="s">
        <v>176</v>
      </c>
      <c r="H289">
        <v>9</v>
      </c>
      <c r="I289">
        <v>9</v>
      </c>
      <c r="J289" s="3">
        <v>81</v>
      </c>
      <c r="K289" s="3">
        <v>27</v>
      </c>
      <c r="L289" s="3">
        <v>54</v>
      </c>
    </row>
    <row r="290" spans="1:12" ht="15" customHeight="1" x14ac:dyDescent="0.25">
      <c r="A290">
        <v>8289</v>
      </c>
      <c r="B290" t="s">
        <v>390</v>
      </c>
      <c r="C290" t="s">
        <v>119</v>
      </c>
      <c r="D290" t="s">
        <v>97</v>
      </c>
      <c r="E290" t="s">
        <v>90</v>
      </c>
      <c r="F290" t="s">
        <v>149</v>
      </c>
      <c r="G290" t="s">
        <v>134</v>
      </c>
      <c r="H290">
        <v>10</v>
      </c>
      <c r="I290">
        <v>420</v>
      </c>
      <c r="J290" s="3">
        <v>4200</v>
      </c>
      <c r="K290" s="3">
        <v>2200</v>
      </c>
      <c r="L290" s="3">
        <v>2000</v>
      </c>
    </row>
    <row r="291" spans="1:12" ht="15" customHeight="1" x14ac:dyDescent="0.25">
      <c r="A291">
        <v>8290</v>
      </c>
      <c r="B291" t="s">
        <v>391</v>
      </c>
      <c r="C291" t="s">
        <v>120</v>
      </c>
      <c r="D291" t="s">
        <v>131</v>
      </c>
      <c r="E291" t="s">
        <v>155</v>
      </c>
      <c r="F291" t="s">
        <v>149</v>
      </c>
      <c r="G291" t="s">
        <v>142</v>
      </c>
      <c r="H291">
        <v>4</v>
      </c>
      <c r="I291">
        <v>140</v>
      </c>
      <c r="J291" s="3">
        <v>560</v>
      </c>
      <c r="K291" s="3">
        <v>260</v>
      </c>
      <c r="L291" s="3">
        <v>300</v>
      </c>
    </row>
    <row r="292" spans="1:12" ht="15" customHeight="1" x14ac:dyDescent="0.25">
      <c r="A292">
        <v>8291</v>
      </c>
      <c r="B292" t="s">
        <v>254</v>
      </c>
      <c r="C292" t="s">
        <v>119</v>
      </c>
      <c r="D292" t="s">
        <v>97</v>
      </c>
      <c r="E292" t="s">
        <v>90</v>
      </c>
      <c r="F292" t="s">
        <v>174</v>
      </c>
      <c r="G292" t="s">
        <v>142</v>
      </c>
      <c r="H292">
        <v>3</v>
      </c>
      <c r="I292">
        <v>420</v>
      </c>
      <c r="J292" s="3">
        <v>1260</v>
      </c>
      <c r="K292" s="3">
        <v>660</v>
      </c>
      <c r="L292" s="3">
        <v>600</v>
      </c>
    </row>
    <row r="293" spans="1:12" ht="15" customHeight="1" x14ac:dyDescent="0.25">
      <c r="A293">
        <v>8292</v>
      </c>
      <c r="B293" t="s">
        <v>211</v>
      </c>
      <c r="C293" t="s">
        <v>120</v>
      </c>
      <c r="D293" t="s">
        <v>136</v>
      </c>
      <c r="E293" t="s">
        <v>160</v>
      </c>
      <c r="F293" t="s">
        <v>178</v>
      </c>
      <c r="G293" t="s">
        <v>164</v>
      </c>
      <c r="H293">
        <v>15</v>
      </c>
      <c r="I293">
        <v>15</v>
      </c>
      <c r="J293" s="3">
        <v>225</v>
      </c>
      <c r="K293" s="3">
        <v>75</v>
      </c>
      <c r="L293" s="3">
        <v>150</v>
      </c>
    </row>
    <row r="294" spans="1:12" ht="15" customHeight="1" x14ac:dyDescent="0.25">
      <c r="A294">
        <v>8293</v>
      </c>
      <c r="B294" t="s">
        <v>307</v>
      </c>
      <c r="C294" t="s">
        <v>121</v>
      </c>
      <c r="D294" t="s">
        <v>136</v>
      </c>
      <c r="E294" t="s">
        <v>137</v>
      </c>
      <c r="F294" t="s">
        <v>338</v>
      </c>
      <c r="G294" t="s">
        <v>202</v>
      </c>
      <c r="H294">
        <v>6</v>
      </c>
      <c r="I294">
        <v>9</v>
      </c>
      <c r="J294" s="3">
        <v>54</v>
      </c>
      <c r="K294" s="3">
        <v>18</v>
      </c>
      <c r="L294" s="3">
        <v>36</v>
      </c>
    </row>
    <row r="295" spans="1:12" ht="15" customHeight="1" x14ac:dyDescent="0.25">
      <c r="A295">
        <v>8294</v>
      </c>
      <c r="B295" t="s">
        <v>392</v>
      </c>
      <c r="C295" t="s">
        <v>96</v>
      </c>
      <c r="D295" t="s">
        <v>97</v>
      </c>
      <c r="E295" t="s">
        <v>157</v>
      </c>
      <c r="F295" t="s">
        <v>197</v>
      </c>
      <c r="G295" t="s">
        <v>146</v>
      </c>
      <c r="H295">
        <v>3</v>
      </c>
      <c r="I295">
        <v>25</v>
      </c>
      <c r="J295" s="3">
        <v>75</v>
      </c>
      <c r="K295" s="3">
        <v>24</v>
      </c>
      <c r="L295" s="3">
        <v>51</v>
      </c>
    </row>
    <row r="296" spans="1:12" ht="15" customHeight="1" x14ac:dyDescent="0.25">
      <c r="A296">
        <v>8295</v>
      </c>
      <c r="B296" t="s">
        <v>393</v>
      </c>
      <c r="C296" t="s">
        <v>96</v>
      </c>
      <c r="D296" t="s">
        <v>97</v>
      </c>
      <c r="E296" t="s">
        <v>157</v>
      </c>
      <c r="F296" t="s">
        <v>230</v>
      </c>
      <c r="G296" t="s">
        <v>146</v>
      </c>
      <c r="H296">
        <v>11</v>
      </c>
      <c r="I296">
        <v>25</v>
      </c>
      <c r="J296" s="3">
        <v>275</v>
      </c>
      <c r="K296" s="3">
        <v>88</v>
      </c>
      <c r="L296" s="3">
        <v>187</v>
      </c>
    </row>
    <row r="297" spans="1:12" ht="15" customHeight="1" x14ac:dyDescent="0.25">
      <c r="A297">
        <v>8296</v>
      </c>
      <c r="B297" t="s">
        <v>330</v>
      </c>
      <c r="C297" t="s">
        <v>121</v>
      </c>
      <c r="D297" t="s">
        <v>131</v>
      </c>
      <c r="E297" t="s">
        <v>155</v>
      </c>
      <c r="F297" t="s">
        <v>278</v>
      </c>
      <c r="G297" t="s">
        <v>164</v>
      </c>
      <c r="H297">
        <v>8</v>
      </c>
      <c r="I297">
        <v>140</v>
      </c>
      <c r="J297" s="3">
        <v>1120</v>
      </c>
      <c r="K297" s="3">
        <v>520</v>
      </c>
      <c r="L297" s="3">
        <v>600</v>
      </c>
    </row>
    <row r="298" spans="1:12" ht="15" customHeight="1" x14ac:dyDescent="0.25">
      <c r="A298">
        <v>8297</v>
      </c>
      <c r="B298" t="s">
        <v>311</v>
      </c>
      <c r="C298" t="s">
        <v>119</v>
      </c>
      <c r="D298" t="s">
        <v>97</v>
      </c>
      <c r="E298" t="s">
        <v>157</v>
      </c>
      <c r="F298" t="s">
        <v>280</v>
      </c>
      <c r="G298" t="s">
        <v>176</v>
      </c>
      <c r="H298">
        <v>14</v>
      </c>
      <c r="I298">
        <v>25</v>
      </c>
      <c r="J298" s="3">
        <v>350</v>
      </c>
      <c r="K298" s="3">
        <v>112</v>
      </c>
      <c r="L298" s="3">
        <v>238</v>
      </c>
    </row>
    <row r="299" spans="1:12" ht="15" customHeight="1" x14ac:dyDescent="0.25">
      <c r="A299">
        <v>8298</v>
      </c>
      <c r="B299" t="s">
        <v>299</v>
      </c>
      <c r="C299" t="s">
        <v>119</v>
      </c>
      <c r="D299" t="s">
        <v>97</v>
      </c>
      <c r="E299" t="s">
        <v>157</v>
      </c>
      <c r="F299" t="s">
        <v>138</v>
      </c>
      <c r="G299" t="s">
        <v>202</v>
      </c>
      <c r="H299">
        <v>4</v>
      </c>
      <c r="I299">
        <v>25</v>
      </c>
      <c r="J299" s="3">
        <v>100</v>
      </c>
      <c r="K299" s="3">
        <v>32</v>
      </c>
      <c r="L299" s="3">
        <v>68</v>
      </c>
    </row>
    <row r="300" spans="1:12" ht="15" customHeight="1" x14ac:dyDescent="0.25">
      <c r="A300">
        <v>8299</v>
      </c>
      <c r="B300" t="s">
        <v>308</v>
      </c>
      <c r="C300" t="s">
        <v>120</v>
      </c>
      <c r="D300" t="s">
        <v>131</v>
      </c>
      <c r="E300" t="s">
        <v>144</v>
      </c>
      <c r="F300" t="s">
        <v>230</v>
      </c>
      <c r="G300" t="s">
        <v>142</v>
      </c>
      <c r="H300">
        <v>8</v>
      </c>
      <c r="I300">
        <v>380</v>
      </c>
      <c r="J300" s="3">
        <v>3040</v>
      </c>
      <c r="K300" s="3">
        <v>1440</v>
      </c>
      <c r="L300" s="3">
        <v>1600</v>
      </c>
    </row>
    <row r="301" spans="1:12" ht="15" customHeight="1" x14ac:dyDescent="0.25">
      <c r="A301">
        <v>8300</v>
      </c>
      <c r="B301" t="s">
        <v>394</v>
      </c>
      <c r="C301" t="s">
        <v>120</v>
      </c>
      <c r="D301" t="s">
        <v>97</v>
      </c>
      <c r="E301" t="s">
        <v>90</v>
      </c>
      <c r="F301" t="s">
        <v>230</v>
      </c>
      <c r="G301" t="s">
        <v>142</v>
      </c>
      <c r="H301">
        <v>15</v>
      </c>
      <c r="I301">
        <v>420</v>
      </c>
      <c r="J301" s="3">
        <v>6300</v>
      </c>
      <c r="K301" s="3">
        <v>3300</v>
      </c>
      <c r="L301" s="3">
        <v>3000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41"/>
  <sheetViews>
    <sheetView zoomScaleNormal="100" workbookViewId="0">
      <pane ySplit="1" topLeftCell="A2" activePane="bottomLeft" state="frozen"/>
      <selection pane="bottomLeft" activeCell="I3" sqref="I3"/>
    </sheetView>
  </sheetViews>
  <sheetFormatPr defaultColWidth="8.7109375" defaultRowHeight="15" x14ac:dyDescent="0.25"/>
  <cols>
    <col min="1" max="1" width="17.7109375" style="14" bestFit="1" customWidth="1"/>
    <col min="2" max="2" width="21.28515625" style="14" bestFit="1" customWidth="1"/>
    <col min="3" max="3" width="14.5703125" style="14" bestFit="1" customWidth="1"/>
    <col min="4" max="4" width="14" style="14" bestFit="1" customWidth="1"/>
    <col min="5" max="5" width="14.5703125" style="14" bestFit="1" customWidth="1"/>
  </cols>
  <sheetData>
    <row r="1" spans="1:5" ht="15" customHeight="1" x14ac:dyDescent="0.25">
      <c r="A1" s="2" t="s">
        <v>125</v>
      </c>
      <c r="B1" s="2" t="s">
        <v>395</v>
      </c>
      <c r="C1" s="2" t="s">
        <v>396</v>
      </c>
      <c r="D1" s="2" t="s">
        <v>92</v>
      </c>
      <c r="E1" s="2" t="s">
        <v>397</v>
      </c>
    </row>
    <row r="2" spans="1:5" ht="15" customHeight="1" x14ac:dyDescent="0.25">
      <c r="A2" t="s">
        <v>243</v>
      </c>
      <c r="B2" t="s">
        <v>398</v>
      </c>
      <c r="C2" t="s">
        <v>399</v>
      </c>
      <c r="D2" t="s">
        <v>121</v>
      </c>
      <c r="E2">
        <v>2024</v>
      </c>
    </row>
    <row r="3" spans="1:5" ht="15" customHeight="1" x14ac:dyDescent="0.25">
      <c r="A3" t="s">
        <v>197</v>
      </c>
      <c r="B3" t="s">
        <v>400</v>
      </c>
      <c r="C3" t="s">
        <v>399</v>
      </c>
      <c r="D3" t="s">
        <v>120</v>
      </c>
      <c r="E3">
        <v>2021</v>
      </c>
    </row>
    <row r="4" spans="1:5" ht="15" customHeight="1" x14ac:dyDescent="0.25">
      <c r="A4" t="s">
        <v>145</v>
      </c>
      <c r="B4" t="s">
        <v>401</v>
      </c>
      <c r="C4" t="s">
        <v>402</v>
      </c>
      <c r="D4" t="s">
        <v>96</v>
      </c>
      <c r="E4">
        <v>2021</v>
      </c>
    </row>
    <row r="5" spans="1:5" ht="15" customHeight="1" x14ac:dyDescent="0.25">
      <c r="A5" t="s">
        <v>184</v>
      </c>
      <c r="B5" t="s">
        <v>403</v>
      </c>
      <c r="C5" t="s">
        <v>399</v>
      </c>
      <c r="D5" t="s">
        <v>96</v>
      </c>
      <c r="E5">
        <v>2022</v>
      </c>
    </row>
    <row r="6" spans="1:5" ht="15" customHeight="1" x14ac:dyDescent="0.25">
      <c r="A6" t="s">
        <v>182</v>
      </c>
      <c r="B6" t="s">
        <v>404</v>
      </c>
      <c r="C6" t="s">
        <v>405</v>
      </c>
      <c r="D6" t="s">
        <v>120</v>
      </c>
      <c r="E6">
        <v>2024</v>
      </c>
    </row>
    <row r="7" spans="1:5" ht="15" customHeight="1" x14ac:dyDescent="0.25">
      <c r="A7" t="s">
        <v>152</v>
      </c>
      <c r="B7" t="s">
        <v>406</v>
      </c>
      <c r="C7" t="s">
        <v>402</v>
      </c>
      <c r="D7" t="s">
        <v>120</v>
      </c>
      <c r="E7">
        <v>2020</v>
      </c>
    </row>
    <row r="8" spans="1:5" ht="15" customHeight="1" x14ac:dyDescent="0.25">
      <c r="A8" t="s">
        <v>209</v>
      </c>
      <c r="B8" t="s">
        <v>407</v>
      </c>
      <c r="C8" t="s">
        <v>405</v>
      </c>
      <c r="D8" t="s">
        <v>120</v>
      </c>
      <c r="E8">
        <v>2021</v>
      </c>
    </row>
    <row r="9" spans="1:5" ht="15" customHeight="1" x14ac:dyDescent="0.25">
      <c r="A9" t="s">
        <v>278</v>
      </c>
      <c r="B9" t="s">
        <v>408</v>
      </c>
      <c r="C9" t="s">
        <v>399</v>
      </c>
      <c r="D9" t="s">
        <v>120</v>
      </c>
      <c r="E9">
        <v>2022</v>
      </c>
    </row>
    <row r="10" spans="1:5" ht="15" customHeight="1" x14ac:dyDescent="0.25">
      <c r="A10" t="s">
        <v>195</v>
      </c>
      <c r="B10" t="s">
        <v>409</v>
      </c>
      <c r="C10" t="s">
        <v>399</v>
      </c>
      <c r="D10" t="s">
        <v>120</v>
      </c>
      <c r="E10">
        <v>2024</v>
      </c>
    </row>
    <row r="11" spans="1:5" ht="15" customHeight="1" x14ac:dyDescent="0.25">
      <c r="A11" t="s">
        <v>187</v>
      </c>
      <c r="B11" t="s">
        <v>410</v>
      </c>
      <c r="C11" t="s">
        <v>402</v>
      </c>
      <c r="D11" t="s">
        <v>96</v>
      </c>
      <c r="E11">
        <v>2020</v>
      </c>
    </row>
    <row r="12" spans="1:5" ht="15" customHeight="1" x14ac:dyDescent="0.25">
      <c r="A12" t="s">
        <v>168</v>
      </c>
      <c r="B12" t="s">
        <v>411</v>
      </c>
      <c r="C12" t="s">
        <v>402</v>
      </c>
      <c r="D12" t="s">
        <v>96</v>
      </c>
      <c r="E12">
        <v>2021</v>
      </c>
    </row>
    <row r="13" spans="1:5" ht="15" customHeight="1" x14ac:dyDescent="0.25">
      <c r="A13" t="s">
        <v>138</v>
      </c>
      <c r="B13" t="s">
        <v>412</v>
      </c>
      <c r="C13" t="s">
        <v>405</v>
      </c>
      <c r="D13" t="s">
        <v>121</v>
      </c>
      <c r="E13">
        <v>2021</v>
      </c>
    </row>
    <row r="14" spans="1:5" ht="15" customHeight="1" x14ac:dyDescent="0.25">
      <c r="A14" t="s">
        <v>201</v>
      </c>
      <c r="B14" t="s">
        <v>413</v>
      </c>
      <c r="C14" t="s">
        <v>399</v>
      </c>
      <c r="D14" t="s">
        <v>120</v>
      </c>
      <c r="E14">
        <v>2019</v>
      </c>
    </row>
    <row r="15" spans="1:5" ht="15" customHeight="1" x14ac:dyDescent="0.25">
      <c r="A15" t="s">
        <v>158</v>
      </c>
      <c r="B15" t="s">
        <v>414</v>
      </c>
      <c r="C15" t="s">
        <v>405</v>
      </c>
      <c r="D15" t="s">
        <v>120</v>
      </c>
      <c r="E15">
        <v>2019</v>
      </c>
    </row>
    <row r="16" spans="1:5" ht="15" customHeight="1" x14ac:dyDescent="0.25">
      <c r="A16" t="s">
        <v>280</v>
      </c>
      <c r="B16" t="s">
        <v>415</v>
      </c>
      <c r="C16" t="s">
        <v>402</v>
      </c>
      <c r="D16" t="s">
        <v>119</v>
      </c>
      <c r="E16">
        <v>2022</v>
      </c>
    </row>
    <row r="17" spans="1:5" ht="15" customHeight="1" x14ac:dyDescent="0.25">
      <c r="A17" t="s">
        <v>178</v>
      </c>
      <c r="B17" t="s">
        <v>416</v>
      </c>
      <c r="C17" t="s">
        <v>405</v>
      </c>
      <c r="D17" t="s">
        <v>96</v>
      </c>
      <c r="E17">
        <v>2022</v>
      </c>
    </row>
    <row r="18" spans="1:5" ht="15" customHeight="1" x14ac:dyDescent="0.25">
      <c r="A18" t="s">
        <v>225</v>
      </c>
      <c r="B18" t="s">
        <v>417</v>
      </c>
      <c r="C18" t="s">
        <v>405</v>
      </c>
      <c r="D18" t="s">
        <v>96</v>
      </c>
      <c r="E18">
        <v>2019</v>
      </c>
    </row>
    <row r="19" spans="1:5" ht="15" customHeight="1" x14ac:dyDescent="0.25">
      <c r="A19" t="s">
        <v>227</v>
      </c>
      <c r="B19" t="s">
        <v>418</v>
      </c>
      <c r="C19" t="s">
        <v>402</v>
      </c>
      <c r="D19" t="s">
        <v>96</v>
      </c>
      <c r="E19">
        <v>2024</v>
      </c>
    </row>
    <row r="20" spans="1:5" ht="15" customHeight="1" x14ac:dyDescent="0.25">
      <c r="A20" t="s">
        <v>133</v>
      </c>
      <c r="B20" t="s">
        <v>419</v>
      </c>
      <c r="C20" t="s">
        <v>405</v>
      </c>
      <c r="D20" t="s">
        <v>121</v>
      </c>
      <c r="E20">
        <v>2020</v>
      </c>
    </row>
    <row r="21" spans="1:5" ht="15" customHeight="1" x14ac:dyDescent="0.25">
      <c r="A21" t="s">
        <v>174</v>
      </c>
      <c r="B21" t="s">
        <v>420</v>
      </c>
      <c r="C21" t="s">
        <v>402</v>
      </c>
      <c r="D21" t="s">
        <v>121</v>
      </c>
      <c r="E21">
        <v>2021</v>
      </c>
    </row>
    <row r="22" spans="1:5" ht="15" customHeight="1" x14ac:dyDescent="0.25">
      <c r="A22" t="s">
        <v>166</v>
      </c>
      <c r="B22" t="s">
        <v>421</v>
      </c>
      <c r="C22" t="s">
        <v>405</v>
      </c>
      <c r="D22" t="s">
        <v>120</v>
      </c>
      <c r="E22">
        <v>2020</v>
      </c>
    </row>
    <row r="23" spans="1:5" ht="15" customHeight="1" x14ac:dyDescent="0.25">
      <c r="A23" t="s">
        <v>149</v>
      </c>
      <c r="B23" t="s">
        <v>422</v>
      </c>
      <c r="C23" t="s">
        <v>405</v>
      </c>
      <c r="D23" t="s">
        <v>121</v>
      </c>
      <c r="E23">
        <v>2024</v>
      </c>
    </row>
    <row r="24" spans="1:5" ht="15" customHeight="1" x14ac:dyDescent="0.25">
      <c r="A24" t="s">
        <v>230</v>
      </c>
      <c r="B24" t="s">
        <v>423</v>
      </c>
      <c r="C24" t="s">
        <v>405</v>
      </c>
      <c r="D24" t="s">
        <v>121</v>
      </c>
      <c r="E24">
        <v>2024</v>
      </c>
    </row>
    <row r="25" spans="1:5" ht="15" customHeight="1" x14ac:dyDescent="0.25">
      <c r="A25" t="s">
        <v>234</v>
      </c>
      <c r="B25" t="s">
        <v>424</v>
      </c>
      <c r="C25" t="s">
        <v>399</v>
      </c>
      <c r="D25" t="s">
        <v>120</v>
      </c>
      <c r="E25">
        <v>2019</v>
      </c>
    </row>
    <row r="26" spans="1:5" ht="15" customHeight="1" x14ac:dyDescent="0.25">
      <c r="A26" t="s">
        <v>161</v>
      </c>
      <c r="B26" t="s">
        <v>425</v>
      </c>
      <c r="C26" t="s">
        <v>399</v>
      </c>
      <c r="D26" t="s">
        <v>119</v>
      </c>
      <c r="E26">
        <v>2019</v>
      </c>
    </row>
    <row r="27" spans="1:5" ht="15" customHeight="1" x14ac:dyDescent="0.25">
      <c r="A27" t="s">
        <v>212</v>
      </c>
      <c r="B27" t="s">
        <v>426</v>
      </c>
      <c r="C27" t="s">
        <v>405</v>
      </c>
      <c r="D27" t="s">
        <v>119</v>
      </c>
      <c r="E27">
        <v>2020</v>
      </c>
    </row>
    <row r="28" spans="1:5" ht="15" customHeight="1" x14ac:dyDescent="0.25">
      <c r="A28" t="s">
        <v>163</v>
      </c>
      <c r="B28" t="s">
        <v>427</v>
      </c>
      <c r="C28" t="s">
        <v>405</v>
      </c>
      <c r="D28" t="s">
        <v>120</v>
      </c>
      <c r="E28">
        <v>2024</v>
      </c>
    </row>
    <row r="29" spans="1:5" ht="15" customHeight="1" x14ac:dyDescent="0.25">
      <c r="A29" t="s">
        <v>141</v>
      </c>
      <c r="B29" t="s">
        <v>428</v>
      </c>
      <c r="C29" t="s">
        <v>405</v>
      </c>
      <c r="D29" t="s">
        <v>119</v>
      </c>
      <c r="E29">
        <v>2022</v>
      </c>
    </row>
    <row r="30" spans="1:5" ht="15" customHeight="1" x14ac:dyDescent="0.25">
      <c r="A30" t="s">
        <v>217</v>
      </c>
      <c r="B30" t="s">
        <v>429</v>
      </c>
      <c r="C30" t="s">
        <v>399</v>
      </c>
      <c r="D30" t="s">
        <v>120</v>
      </c>
      <c r="E30">
        <v>2020</v>
      </c>
    </row>
    <row r="31" spans="1:5" ht="15" customHeight="1" x14ac:dyDescent="0.25">
      <c r="A31" t="s">
        <v>238</v>
      </c>
      <c r="B31" t="s">
        <v>430</v>
      </c>
      <c r="C31" t="s">
        <v>399</v>
      </c>
      <c r="D31" t="s">
        <v>119</v>
      </c>
      <c r="E31">
        <v>2020</v>
      </c>
    </row>
    <row r="32" spans="1:5" ht="15" customHeight="1" x14ac:dyDescent="0.25">
      <c r="A32" t="s">
        <v>262</v>
      </c>
      <c r="B32" t="s">
        <v>431</v>
      </c>
      <c r="C32" t="s">
        <v>399</v>
      </c>
      <c r="D32" t="s">
        <v>119</v>
      </c>
      <c r="E32">
        <v>2019</v>
      </c>
    </row>
    <row r="33" spans="1:5" ht="15" customHeight="1" x14ac:dyDescent="0.25">
      <c r="A33" t="s">
        <v>180</v>
      </c>
      <c r="B33" t="s">
        <v>432</v>
      </c>
      <c r="C33" t="s">
        <v>405</v>
      </c>
      <c r="D33" t="s">
        <v>120</v>
      </c>
      <c r="E33">
        <v>2020</v>
      </c>
    </row>
    <row r="34" spans="1:5" ht="15" customHeight="1" x14ac:dyDescent="0.25">
      <c r="A34" t="s">
        <v>252</v>
      </c>
      <c r="B34" t="s">
        <v>433</v>
      </c>
      <c r="C34" t="s">
        <v>405</v>
      </c>
      <c r="D34" t="s">
        <v>119</v>
      </c>
      <c r="E34">
        <v>2019</v>
      </c>
    </row>
    <row r="35" spans="1:5" ht="15" customHeight="1" x14ac:dyDescent="0.25">
      <c r="A35" t="s">
        <v>189</v>
      </c>
      <c r="B35" t="s">
        <v>434</v>
      </c>
      <c r="C35" t="s">
        <v>405</v>
      </c>
      <c r="D35" t="s">
        <v>96</v>
      </c>
      <c r="E35">
        <v>2019</v>
      </c>
    </row>
    <row r="36" spans="1:5" ht="15" customHeight="1" x14ac:dyDescent="0.25">
      <c r="A36" t="s">
        <v>232</v>
      </c>
      <c r="B36" t="s">
        <v>435</v>
      </c>
      <c r="C36" t="s">
        <v>405</v>
      </c>
      <c r="D36" t="s">
        <v>120</v>
      </c>
      <c r="E36">
        <v>2021</v>
      </c>
    </row>
    <row r="37" spans="1:5" ht="15" customHeight="1" x14ac:dyDescent="0.25">
      <c r="A37" t="s">
        <v>237</v>
      </c>
      <c r="B37" t="s">
        <v>436</v>
      </c>
      <c r="C37" t="s">
        <v>405</v>
      </c>
      <c r="D37" t="s">
        <v>119</v>
      </c>
      <c r="E37">
        <v>2024</v>
      </c>
    </row>
    <row r="38" spans="1:5" ht="15" customHeight="1" x14ac:dyDescent="0.25">
      <c r="A38" t="s">
        <v>256</v>
      </c>
      <c r="B38" t="s">
        <v>437</v>
      </c>
      <c r="C38" t="s">
        <v>405</v>
      </c>
      <c r="D38" t="s">
        <v>120</v>
      </c>
      <c r="E38">
        <v>2022</v>
      </c>
    </row>
    <row r="39" spans="1:5" ht="15" customHeight="1" x14ac:dyDescent="0.25">
      <c r="A39" t="s">
        <v>338</v>
      </c>
      <c r="B39" t="s">
        <v>438</v>
      </c>
      <c r="C39" t="s">
        <v>402</v>
      </c>
      <c r="D39" t="s">
        <v>119</v>
      </c>
      <c r="E39">
        <v>2019</v>
      </c>
    </row>
    <row r="40" spans="1:5" ht="15" customHeight="1" x14ac:dyDescent="0.25">
      <c r="A40" t="s">
        <v>170</v>
      </c>
      <c r="B40" t="s">
        <v>439</v>
      </c>
      <c r="C40" t="s">
        <v>399</v>
      </c>
      <c r="D40" t="s">
        <v>119</v>
      </c>
      <c r="E40">
        <v>2023</v>
      </c>
    </row>
    <row r="41" spans="1:5" ht="15" customHeight="1" x14ac:dyDescent="0.25">
      <c r="A41" t="s">
        <v>207</v>
      </c>
      <c r="B41" t="s">
        <v>440</v>
      </c>
      <c r="C41" t="s">
        <v>399</v>
      </c>
      <c r="D41" t="s">
        <v>96</v>
      </c>
      <c r="E41">
        <v>2024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1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style="14" customWidth="1"/>
    <col min="2" max="3" width="14" style="14" customWidth="1"/>
    <col min="4" max="5" width="15" style="14" customWidth="1"/>
  </cols>
  <sheetData>
    <row r="1" spans="1:5" ht="15" customHeight="1" x14ac:dyDescent="0.25">
      <c r="A1" s="2" t="s">
        <v>112</v>
      </c>
      <c r="B1" s="2" t="s">
        <v>93</v>
      </c>
      <c r="C1" s="2" t="s">
        <v>441</v>
      </c>
      <c r="D1" s="2" t="s">
        <v>128</v>
      </c>
      <c r="E1" s="2" t="s">
        <v>442</v>
      </c>
    </row>
    <row r="2" spans="1:5" ht="15" customHeight="1" x14ac:dyDescent="0.25">
      <c r="A2" t="s">
        <v>87</v>
      </c>
      <c r="B2" t="s">
        <v>97</v>
      </c>
      <c r="C2" s="3">
        <v>850</v>
      </c>
      <c r="D2" s="3">
        <v>1200</v>
      </c>
      <c r="E2" s="4">
        <v>29.2</v>
      </c>
    </row>
    <row r="3" spans="1:5" ht="15" customHeight="1" x14ac:dyDescent="0.25">
      <c r="A3" t="s">
        <v>157</v>
      </c>
      <c r="B3" t="s">
        <v>97</v>
      </c>
      <c r="C3" s="3">
        <v>8</v>
      </c>
      <c r="D3" s="3">
        <v>25</v>
      </c>
      <c r="E3" s="4">
        <v>68</v>
      </c>
    </row>
    <row r="4" spans="1:5" ht="15" customHeight="1" x14ac:dyDescent="0.25">
      <c r="A4" t="s">
        <v>155</v>
      </c>
      <c r="B4" t="s">
        <v>131</v>
      </c>
      <c r="C4" s="3">
        <v>65</v>
      </c>
      <c r="D4" s="3">
        <v>140</v>
      </c>
      <c r="E4" s="4">
        <v>53.6</v>
      </c>
    </row>
    <row r="5" spans="1:5" ht="15" customHeight="1" x14ac:dyDescent="0.25">
      <c r="A5" t="s">
        <v>144</v>
      </c>
      <c r="B5" t="s">
        <v>131</v>
      </c>
      <c r="C5" s="3">
        <v>180</v>
      </c>
      <c r="D5" s="3">
        <v>380</v>
      </c>
      <c r="E5" s="4">
        <v>52.6</v>
      </c>
    </row>
    <row r="6" spans="1:5" ht="15" customHeight="1" x14ac:dyDescent="0.25">
      <c r="A6" t="s">
        <v>90</v>
      </c>
      <c r="B6" t="s">
        <v>97</v>
      </c>
      <c r="C6" s="3">
        <v>220</v>
      </c>
      <c r="D6" s="3">
        <v>420</v>
      </c>
      <c r="E6" s="4">
        <v>47.6</v>
      </c>
    </row>
    <row r="7" spans="1:5" ht="15" customHeight="1" x14ac:dyDescent="0.25">
      <c r="A7" t="s">
        <v>151</v>
      </c>
      <c r="B7" t="s">
        <v>97</v>
      </c>
      <c r="C7" s="3">
        <v>30</v>
      </c>
      <c r="D7" s="3">
        <v>75</v>
      </c>
      <c r="E7" s="4">
        <v>60</v>
      </c>
    </row>
    <row r="8" spans="1:5" ht="15" customHeight="1" x14ac:dyDescent="0.25">
      <c r="A8" t="s">
        <v>132</v>
      </c>
      <c r="B8" t="s">
        <v>131</v>
      </c>
      <c r="C8" s="3">
        <v>90</v>
      </c>
      <c r="D8" s="3">
        <v>190</v>
      </c>
      <c r="E8" s="4">
        <v>52.6</v>
      </c>
    </row>
    <row r="9" spans="1:5" ht="15" customHeight="1" x14ac:dyDescent="0.25">
      <c r="A9" t="s">
        <v>137</v>
      </c>
      <c r="B9" t="s">
        <v>136</v>
      </c>
      <c r="C9" s="3">
        <v>3</v>
      </c>
      <c r="D9" s="3">
        <v>9</v>
      </c>
      <c r="E9" s="4">
        <v>66.7</v>
      </c>
    </row>
    <row r="10" spans="1:5" ht="15" customHeight="1" x14ac:dyDescent="0.25">
      <c r="A10" t="s">
        <v>160</v>
      </c>
      <c r="B10" t="s">
        <v>136</v>
      </c>
      <c r="C10" s="3">
        <v>5</v>
      </c>
      <c r="D10" s="3">
        <v>15</v>
      </c>
      <c r="E10" s="4">
        <v>66.7</v>
      </c>
    </row>
    <row r="11" spans="1:5" ht="15" customHeight="1" x14ac:dyDescent="0.25">
      <c r="A11" t="s">
        <v>148</v>
      </c>
      <c r="B11" t="s">
        <v>131</v>
      </c>
      <c r="C11" s="3">
        <v>70</v>
      </c>
      <c r="D11" s="3">
        <v>160</v>
      </c>
      <c r="E11" s="4">
        <v>56.2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D4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style="14" customWidth="1"/>
    <col min="2" max="2" width="16" style="14" customWidth="1"/>
    <col min="3" max="3" width="14" style="14" customWidth="1"/>
    <col min="4" max="4" width="12" style="14" customWidth="1"/>
  </cols>
  <sheetData>
    <row r="1" spans="1:4" ht="15" customHeight="1" x14ac:dyDescent="0.25">
      <c r="A1" s="2" t="s">
        <v>40</v>
      </c>
      <c r="B1" s="2" t="s">
        <v>59</v>
      </c>
      <c r="C1" s="2" t="s">
        <v>60</v>
      </c>
      <c r="D1" s="2" t="s">
        <v>61</v>
      </c>
    </row>
    <row r="2" spans="1:4" ht="15" customHeight="1" x14ac:dyDescent="0.25">
      <c r="A2" t="s">
        <v>443</v>
      </c>
      <c r="B2" t="s">
        <v>64</v>
      </c>
      <c r="C2" s="3">
        <v>185940</v>
      </c>
      <c r="D2" s="3">
        <v>159843</v>
      </c>
    </row>
    <row r="3" spans="1:4" ht="15" customHeight="1" x14ac:dyDescent="0.25">
      <c r="A3" t="s">
        <v>444</v>
      </c>
      <c r="B3" t="s">
        <v>64</v>
      </c>
      <c r="C3" s="3">
        <v>173982</v>
      </c>
      <c r="D3" s="3">
        <v>163223</v>
      </c>
    </row>
    <row r="4" spans="1:4" ht="15" customHeight="1" x14ac:dyDescent="0.25">
      <c r="A4" t="s">
        <v>445</v>
      </c>
      <c r="B4" t="s">
        <v>64</v>
      </c>
      <c r="C4" s="3">
        <v>188827</v>
      </c>
      <c r="D4" s="3">
        <v>167696</v>
      </c>
    </row>
    <row r="5" spans="1:4" ht="15" customHeight="1" x14ac:dyDescent="0.25">
      <c r="A5" t="s">
        <v>446</v>
      </c>
      <c r="B5" t="s">
        <v>64</v>
      </c>
      <c r="C5" s="3">
        <v>187640</v>
      </c>
      <c r="D5" s="3">
        <v>178226</v>
      </c>
    </row>
    <row r="6" spans="1:4" ht="15" customHeight="1" x14ac:dyDescent="0.25">
      <c r="A6" t="s">
        <v>447</v>
      </c>
      <c r="B6" t="s">
        <v>64</v>
      </c>
      <c r="C6" s="3">
        <v>175382</v>
      </c>
      <c r="D6" s="3">
        <v>168738</v>
      </c>
    </row>
    <row r="7" spans="1:4" ht="15" customHeight="1" x14ac:dyDescent="0.25">
      <c r="A7" t="s">
        <v>448</v>
      </c>
      <c r="B7" t="s">
        <v>64</v>
      </c>
      <c r="C7" s="3">
        <v>175735</v>
      </c>
      <c r="D7" s="3">
        <v>167731</v>
      </c>
    </row>
    <row r="8" spans="1:4" ht="15" customHeight="1" x14ac:dyDescent="0.25">
      <c r="A8" t="s">
        <v>449</v>
      </c>
      <c r="B8" t="s">
        <v>64</v>
      </c>
      <c r="C8" s="3">
        <v>181126</v>
      </c>
      <c r="D8" s="3">
        <v>188942</v>
      </c>
    </row>
    <row r="9" spans="1:4" ht="15" customHeight="1" x14ac:dyDescent="0.25">
      <c r="A9" t="s">
        <v>450</v>
      </c>
      <c r="B9" t="s">
        <v>64</v>
      </c>
      <c r="C9" s="3">
        <v>173436</v>
      </c>
      <c r="D9" s="3">
        <v>179539</v>
      </c>
    </row>
    <row r="10" spans="1:4" ht="15" customHeight="1" x14ac:dyDescent="0.25">
      <c r="A10" t="s">
        <v>451</v>
      </c>
      <c r="B10" t="s">
        <v>64</v>
      </c>
      <c r="C10" s="3">
        <v>172710</v>
      </c>
      <c r="D10" s="3">
        <v>163893</v>
      </c>
    </row>
    <row r="11" spans="1:4" ht="15" customHeight="1" x14ac:dyDescent="0.25">
      <c r="A11" t="s">
        <v>452</v>
      </c>
      <c r="B11" t="s">
        <v>64</v>
      </c>
      <c r="C11" s="3">
        <v>187767</v>
      </c>
      <c r="D11" s="3">
        <v>208870</v>
      </c>
    </row>
    <row r="12" spans="1:4" ht="15" customHeight="1" x14ac:dyDescent="0.25">
      <c r="A12" t="s">
        <v>453</v>
      </c>
      <c r="B12" t="s">
        <v>64</v>
      </c>
      <c r="C12" s="3">
        <v>188418</v>
      </c>
      <c r="D12" s="3">
        <v>193851</v>
      </c>
    </row>
    <row r="13" spans="1:4" ht="15" customHeight="1" x14ac:dyDescent="0.25">
      <c r="A13" t="s">
        <v>454</v>
      </c>
      <c r="B13" t="s">
        <v>64</v>
      </c>
      <c r="C13" s="3">
        <v>181734</v>
      </c>
      <c r="D13" s="3">
        <v>171365</v>
      </c>
    </row>
    <row r="14" spans="1:4" ht="15" customHeight="1" x14ac:dyDescent="0.25">
      <c r="A14" t="s">
        <v>443</v>
      </c>
      <c r="B14" t="s">
        <v>65</v>
      </c>
      <c r="C14" s="3">
        <v>87490</v>
      </c>
      <c r="D14" s="3">
        <v>94422</v>
      </c>
    </row>
    <row r="15" spans="1:4" ht="15" customHeight="1" x14ac:dyDescent="0.25">
      <c r="A15" t="s">
        <v>444</v>
      </c>
      <c r="B15" t="s">
        <v>65</v>
      </c>
      <c r="C15" s="3">
        <v>90874</v>
      </c>
      <c r="D15" s="3">
        <v>76829</v>
      </c>
    </row>
    <row r="16" spans="1:4" ht="15" customHeight="1" x14ac:dyDescent="0.25">
      <c r="A16" t="s">
        <v>445</v>
      </c>
      <c r="B16" t="s">
        <v>65</v>
      </c>
      <c r="C16" s="3">
        <v>87630</v>
      </c>
      <c r="D16" s="3">
        <v>96685</v>
      </c>
    </row>
    <row r="17" spans="1:4" ht="15" customHeight="1" x14ac:dyDescent="0.25">
      <c r="A17" t="s">
        <v>446</v>
      </c>
      <c r="B17" t="s">
        <v>65</v>
      </c>
      <c r="C17" s="3">
        <v>93505</v>
      </c>
      <c r="D17" s="3">
        <v>98581</v>
      </c>
    </row>
    <row r="18" spans="1:4" ht="15" customHeight="1" x14ac:dyDescent="0.25">
      <c r="A18" t="s">
        <v>447</v>
      </c>
      <c r="B18" t="s">
        <v>65</v>
      </c>
      <c r="C18" s="3">
        <v>87498</v>
      </c>
      <c r="D18" s="3">
        <v>96452</v>
      </c>
    </row>
    <row r="19" spans="1:4" ht="15" customHeight="1" x14ac:dyDescent="0.25">
      <c r="A19" t="s">
        <v>448</v>
      </c>
      <c r="B19" t="s">
        <v>65</v>
      </c>
      <c r="C19" s="3">
        <v>93509</v>
      </c>
      <c r="D19" s="3">
        <v>84453</v>
      </c>
    </row>
    <row r="20" spans="1:4" ht="15" customHeight="1" x14ac:dyDescent="0.25">
      <c r="A20" t="s">
        <v>449</v>
      </c>
      <c r="B20" t="s">
        <v>65</v>
      </c>
      <c r="C20" s="3">
        <v>92191</v>
      </c>
      <c r="D20" s="3">
        <v>100223</v>
      </c>
    </row>
    <row r="21" spans="1:4" ht="15" customHeight="1" x14ac:dyDescent="0.25">
      <c r="A21" t="s">
        <v>450</v>
      </c>
      <c r="B21" t="s">
        <v>65</v>
      </c>
      <c r="C21" s="3">
        <v>90831</v>
      </c>
      <c r="D21" s="3">
        <v>94974</v>
      </c>
    </row>
    <row r="22" spans="1:4" ht="15" customHeight="1" x14ac:dyDescent="0.25">
      <c r="A22" t="s">
        <v>451</v>
      </c>
      <c r="B22" t="s">
        <v>65</v>
      </c>
      <c r="C22" s="3">
        <v>86135</v>
      </c>
      <c r="D22" s="3">
        <v>99982</v>
      </c>
    </row>
    <row r="23" spans="1:4" ht="15" customHeight="1" x14ac:dyDescent="0.25">
      <c r="A23" t="s">
        <v>452</v>
      </c>
      <c r="B23" t="s">
        <v>65</v>
      </c>
      <c r="C23" s="3">
        <v>93306</v>
      </c>
      <c r="D23" s="3">
        <v>91625</v>
      </c>
    </row>
    <row r="24" spans="1:4" ht="15" customHeight="1" x14ac:dyDescent="0.25">
      <c r="A24" t="s">
        <v>453</v>
      </c>
      <c r="B24" t="s">
        <v>65</v>
      </c>
      <c r="C24" s="3">
        <v>86882</v>
      </c>
      <c r="D24" s="3">
        <v>77777</v>
      </c>
    </row>
    <row r="25" spans="1:4" ht="15" customHeight="1" x14ac:dyDescent="0.25">
      <c r="A25" t="s">
        <v>454</v>
      </c>
      <c r="B25" t="s">
        <v>65</v>
      </c>
      <c r="C25" s="3">
        <v>93076</v>
      </c>
      <c r="D25" s="3">
        <v>84693</v>
      </c>
    </row>
    <row r="26" spans="1:4" ht="15" customHeight="1" x14ac:dyDescent="0.25">
      <c r="A26" t="s">
        <v>443</v>
      </c>
      <c r="B26" t="s">
        <v>66</v>
      </c>
      <c r="C26" s="3">
        <v>127968</v>
      </c>
      <c r="D26" s="3">
        <v>106609</v>
      </c>
    </row>
    <row r="27" spans="1:4" ht="15" customHeight="1" x14ac:dyDescent="0.25">
      <c r="A27" t="s">
        <v>444</v>
      </c>
      <c r="B27" t="s">
        <v>66</v>
      </c>
      <c r="C27" s="3">
        <v>135769</v>
      </c>
      <c r="D27" s="3">
        <v>122419</v>
      </c>
    </row>
    <row r="28" spans="1:4" ht="15" customHeight="1" x14ac:dyDescent="0.25">
      <c r="A28" t="s">
        <v>445</v>
      </c>
      <c r="B28" t="s">
        <v>66</v>
      </c>
      <c r="C28" s="3">
        <v>131648</v>
      </c>
      <c r="D28" s="3">
        <v>143130</v>
      </c>
    </row>
    <row r="29" spans="1:4" ht="15" customHeight="1" x14ac:dyDescent="0.25">
      <c r="A29" t="s">
        <v>446</v>
      </c>
      <c r="B29" t="s">
        <v>66</v>
      </c>
      <c r="C29" s="3">
        <v>132086</v>
      </c>
      <c r="D29" s="3">
        <v>127827</v>
      </c>
    </row>
    <row r="30" spans="1:4" ht="15" customHeight="1" x14ac:dyDescent="0.25">
      <c r="A30" t="s">
        <v>447</v>
      </c>
      <c r="B30" t="s">
        <v>66</v>
      </c>
      <c r="C30" s="3">
        <v>127070</v>
      </c>
      <c r="D30" s="3">
        <v>132169</v>
      </c>
    </row>
    <row r="31" spans="1:4" ht="15" customHeight="1" x14ac:dyDescent="0.25">
      <c r="A31" t="s">
        <v>448</v>
      </c>
      <c r="B31" t="s">
        <v>66</v>
      </c>
      <c r="C31" s="3">
        <v>127266</v>
      </c>
      <c r="D31" s="3">
        <v>144170</v>
      </c>
    </row>
    <row r="32" spans="1:4" ht="15" customHeight="1" x14ac:dyDescent="0.25">
      <c r="A32" t="s">
        <v>449</v>
      </c>
      <c r="B32" t="s">
        <v>66</v>
      </c>
      <c r="C32" s="3">
        <v>133338</v>
      </c>
      <c r="D32" s="3">
        <v>116505</v>
      </c>
    </row>
    <row r="33" spans="1:4" ht="15" customHeight="1" x14ac:dyDescent="0.25">
      <c r="A33" t="s">
        <v>450</v>
      </c>
      <c r="B33" t="s">
        <v>66</v>
      </c>
      <c r="C33" s="3">
        <v>129288</v>
      </c>
      <c r="D33" s="3">
        <v>148344</v>
      </c>
    </row>
    <row r="34" spans="1:4" ht="15" customHeight="1" x14ac:dyDescent="0.25">
      <c r="A34" t="s">
        <v>451</v>
      </c>
      <c r="B34" t="s">
        <v>66</v>
      </c>
      <c r="C34" s="3">
        <v>124957</v>
      </c>
      <c r="D34" s="3">
        <v>145571</v>
      </c>
    </row>
    <row r="35" spans="1:4" ht="15" customHeight="1" x14ac:dyDescent="0.25">
      <c r="A35" t="s">
        <v>452</v>
      </c>
      <c r="B35" t="s">
        <v>66</v>
      </c>
      <c r="C35" s="3">
        <v>134192</v>
      </c>
      <c r="D35" s="3">
        <v>154364</v>
      </c>
    </row>
    <row r="36" spans="1:4" ht="15" customHeight="1" x14ac:dyDescent="0.25">
      <c r="A36" t="s">
        <v>453</v>
      </c>
      <c r="B36" t="s">
        <v>66</v>
      </c>
      <c r="C36" s="3">
        <v>125778</v>
      </c>
      <c r="D36" s="3">
        <v>137589</v>
      </c>
    </row>
    <row r="37" spans="1:4" ht="15" customHeight="1" x14ac:dyDescent="0.25">
      <c r="A37" t="s">
        <v>454</v>
      </c>
      <c r="B37" t="s">
        <v>66</v>
      </c>
      <c r="C37" s="3">
        <v>128819</v>
      </c>
      <c r="D37" s="3">
        <v>108969</v>
      </c>
    </row>
    <row r="38" spans="1:4" ht="15" customHeight="1" x14ac:dyDescent="0.25">
      <c r="A38" t="s">
        <v>443</v>
      </c>
      <c r="B38" t="s">
        <v>67</v>
      </c>
      <c r="C38" s="3">
        <v>114361</v>
      </c>
      <c r="D38" s="3">
        <v>95025</v>
      </c>
    </row>
    <row r="39" spans="1:4" ht="15" customHeight="1" x14ac:dyDescent="0.25">
      <c r="A39" t="s">
        <v>444</v>
      </c>
      <c r="B39" t="s">
        <v>67</v>
      </c>
      <c r="C39" s="3">
        <v>110732</v>
      </c>
      <c r="D39" s="3">
        <v>112854</v>
      </c>
    </row>
    <row r="40" spans="1:4" ht="15" customHeight="1" x14ac:dyDescent="0.25">
      <c r="A40" t="s">
        <v>445</v>
      </c>
      <c r="B40" t="s">
        <v>67</v>
      </c>
      <c r="C40" s="3">
        <v>107259</v>
      </c>
      <c r="D40" s="3">
        <v>116045</v>
      </c>
    </row>
    <row r="41" spans="1:4" ht="15" customHeight="1" x14ac:dyDescent="0.25">
      <c r="A41" t="s">
        <v>446</v>
      </c>
      <c r="B41" t="s">
        <v>67</v>
      </c>
      <c r="C41" s="3">
        <v>109794</v>
      </c>
      <c r="D41" s="3">
        <v>128049</v>
      </c>
    </row>
    <row r="42" spans="1:4" ht="15" customHeight="1" x14ac:dyDescent="0.25">
      <c r="A42" t="s">
        <v>447</v>
      </c>
      <c r="B42" t="s">
        <v>67</v>
      </c>
      <c r="C42" s="3">
        <v>115451</v>
      </c>
      <c r="D42" s="3">
        <v>105824</v>
      </c>
    </row>
    <row r="43" spans="1:4" ht="15" customHeight="1" x14ac:dyDescent="0.25">
      <c r="A43" t="s">
        <v>448</v>
      </c>
      <c r="B43" t="s">
        <v>67</v>
      </c>
      <c r="C43" s="3">
        <v>114564</v>
      </c>
      <c r="D43" s="3">
        <v>115653</v>
      </c>
    </row>
    <row r="44" spans="1:4" ht="15" customHeight="1" x14ac:dyDescent="0.25">
      <c r="A44" t="s">
        <v>449</v>
      </c>
      <c r="B44" t="s">
        <v>67</v>
      </c>
      <c r="C44" s="3">
        <v>108150</v>
      </c>
      <c r="D44" s="3">
        <v>105445</v>
      </c>
    </row>
    <row r="45" spans="1:4" ht="15" customHeight="1" x14ac:dyDescent="0.25">
      <c r="A45" t="s">
        <v>450</v>
      </c>
      <c r="B45" t="s">
        <v>67</v>
      </c>
      <c r="C45" s="3">
        <v>110300</v>
      </c>
      <c r="D45" s="3">
        <v>120217</v>
      </c>
    </row>
    <row r="46" spans="1:4" ht="15" customHeight="1" x14ac:dyDescent="0.25">
      <c r="A46" t="s">
        <v>451</v>
      </c>
      <c r="B46" t="s">
        <v>67</v>
      </c>
      <c r="C46" s="3">
        <v>112244</v>
      </c>
      <c r="D46" s="3">
        <v>130533</v>
      </c>
    </row>
    <row r="47" spans="1:4" ht="15" customHeight="1" x14ac:dyDescent="0.25">
      <c r="A47" t="s">
        <v>452</v>
      </c>
      <c r="B47" t="s">
        <v>67</v>
      </c>
      <c r="C47" s="3">
        <v>111741</v>
      </c>
      <c r="D47" s="3">
        <v>101224</v>
      </c>
    </row>
    <row r="48" spans="1:4" ht="15" customHeight="1" x14ac:dyDescent="0.25">
      <c r="A48" t="s">
        <v>453</v>
      </c>
      <c r="B48" t="s">
        <v>67</v>
      </c>
      <c r="C48" s="3">
        <v>112812</v>
      </c>
      <c r="D48" s="3">
        <v>122974</v>
      </c>
    </row>
    <row r="49" spans="1:4" ht="15" customHeight="1" x14ac:dyDescent="0.25">
      <c r="A49" t="s">
        <v>454</v>
      </c>
      <c r="B49" t="s">
        <v>67</v>
      </c>
      <c r="C49" s="3">
        <v>111275</v>
      </c>
      <c r="D49" s="3">
        <v>103048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Dashboard</vt:lpstr>
      <vt:lpstr>Executive_Summary</vt:lpstr>
      <vt:lpstr>Financial_Model</vt:lpstr>
      <vt:lpstr>Advanced_Functions</vt:lpstr>
      <vt:lpstr>slicer</vt:lpstr>
      <vt:lpstr>Sales_Data</vt:lpstr>
      <vt:lpstr>Customer_Data</vt:lpstr>
      <vt:lpstr>Product_Data</vt:lpstr>
      <vt:lpstr>Budget_Data</vt:lpstr>
      <vt:lpstr>BreakEvenUnits</vt:lpstr>
      <vt:lpstr>FixedCosts</vt:lpstr>
      <vt:lpstr>TotalProfit</vt:lpstr>
      <vt:lpstr>TotalRevenue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2026-09-20T11:21:35Z</dcterms:created>
  <dcterms:modified xsi:type="dcterms:W3CDTF">2026-09-30T05:06:22Z</dcterms:modified>
  <dc:language>en-US</dc:language>
</cp:coreProperties>
</file>